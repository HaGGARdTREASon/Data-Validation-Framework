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sh\Downloads\PROJECTS\ece 2\"/>
    </mc:Choice>
  </mc:AlternateContent>
  <xr:revisionPtr revIDLastSave="0" documentId="13_ncr:1_{779AF289-EF60-4216-8D39-871F60961E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2" i="1" l="1"/>
  <c r="D22" i="1"/>
  <c r="G21" i="1"/>
  <c r="D21" i="1"/>
  <c r="G20" i="1"/>
  <c r="D20" i="1"/>
  <c r="G19" i="1"/>
  <c r="D19" i="1"/>
  <c r="G18" i="1"/>
  <c r="D18" i="1"/>
  <c r="G17" i="1"/>
  <c r="D17" i="1"/>
  <c r="G16" i="1"/>
  <c r="D16" i="1"/>
  <c r="G15" i="1"/>
  <c r="D15" i="1"/>
  <c r="G14" i="1"/>
  <c r="D14" i="1"/>
  <c r="G13" i="1"/>
  <c r="D13" i="1"/>
  <c r="G12" i="1"/>
  <c r="D12" i="1"/>
  <c r="G11" i="1"/>
  <c r="D11" i="1"/>
  <c r="G10" i="1"/>
  <c r="D10" i="1"/>
  <c r="G9" i="1"/>
  <c r="D9" i="1"/>
  <c r="G8" i="1"/>
  <c r="D8" i="1"/>
  <c r="G7" i="1"/>
  <c r="D7" i="1"/>
  <c r="G6" i="1"/>
  <c r="D6" i="1"/>
  <c r="G5" i="1"/>
  <c r="D5" i="1"/>
  <c r="G4" i="1"/>
  <c r="D4" i="1"/>
  <c r="G3" i="1"/>
  <c r="D3" i="1"/>
  <c r="G2" i="1"/>
  <c r="D2" i="1"/>
</calcChain>
</file>

<file path=xl/sharedStrings.xml><?xml version="1.0" encoding="utf-8"?>
<sst xmlns="http://schemas.openxmlformats.org/spreadsheetml/2006/main" count="6" uniqueCount="6">
  <si>
    <t>Width</t>
  </si>
  <si>
    <t>Id</t>
  </si>
  <si>
    <t>Vth</t>
  </si>
  <si>
    <t>Ramp up</t>
  </si>
  <si>
    <t>Vth sensitivity</t>
  </si>
  <si>
    <t>Id 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</si>
</sst>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Id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11</c:v>
                </c:pt>
                <c:pt idx="1">
                  <c:v>10.9</c:v>
                </c:pt>
                <c:pt idx="2">
                  <c:v>10.8</c:v>
                </c:pt>
                <c:pt idx="3">
                  <c:v>10.7</c:v>
                </c:pt>
                <c:pt idx="4">
                  <c:v>10.6</c:v>
                </c:pt>
                <c:pt idx="5">
                  <c:v>10.5</c:v>
                </c:pt>
                <c:pt idx="6">
                  <c:v>10.4</c:v>
                </c:pt>
                <c:pt idx="7">
                  <c:v>10.3</c:v>
                </c:pt>
                <c:pt idx="8">
                  <c:v>10.199999999999999</c:v>
                </c:pt>
                <c:pt idx="9">
                  <c:v>10.1</c:v>
                </c:pt>
                <c:pt idx="10">
                  <c:v>10</c:v>
                </c:pt>
                <c:pt idx="11">
                  <c:v>9.9</c:v>
                </c:pt>
                <c:pt idx="12">
                  <c:v>9.8000000000000007</c:v>
                </c:pt>
                <c:pt idx="13">
                  <c:v>9.6999999999999993</c:v>
                </c:pt>
                <c:pt idx="14">
                  <c:v>9.6</c:v>
                </c:pt>
                <c:pt idx="15">
                  <c:v>9.5000000000000107</c:v>
                </c:pt>
                <c:pt idx="16">
                  <c:v>9.4000000000000092</c:v>
                </c:pt>
                <c:pt idx="17">
                  <c:v>9.3000000000000096</c:v>
                </c:pt>
                <c:pt idx="18">
                  <c:v>9.2000000000000099</c:v>
                </c:pt>
                <c:pt idx="19">
                  <c:v>9.1000000000000103</c:v>
                </c:pt>
                <c:pt idx="20">
                  <c:v>9.0000000000000107</c:v>
                </c:pt>
              </c:numCache>
            </c:numRef>
          </c:xVal>
          <c:yVal>
            <c:numRef>
              <c:f>Sheet1!$B$2:$B$22</c:f>
              <c:numCache>
                <c:formatCode>0.00E+00</c:formatCode>
                <c:ptCount val="21"/>
                <c:pt idx="0">
                  <c:v>4.8055046010000005E-7</c:v>
                </c:pt>
                <c:pt idx="1">
                  <c:v>5.3617990020000003E-7</c:v>
                </c:pt>
                <c:pt idx="2">
                  <c:v>5.9845099340000005E-7</c:v>
                </c:pt>
                <c:pt idx="3">
                  <c:v>6.6780908109999997E-7</c:v>
                </c:pt>
                <c:pt idx="4">
                  <c:v>7.4568982089999997E-7</c:v>
                </c:pt>
                <c:pt idx="5">
                  <c:v>8.3278744169999996E-7</c:v>
                </c:pt>
                <c:pt idx="6">
                  <c:v>9.2977983620000004E-7</c:v>
                </c:pt>
                <c:pt idx="7">
                  <c:v>1.0270616380000001E-6</c:v>
                </c:pt>
                <c:pt idx="8">
                  <c:v>1.1601306479999999E-6</c:v>
                </c:pt>
                <c:pt idx="9">
                  <c:v>1.2960579229999999E-6</c:v>
                </c:pt>
                <c:pt idx="10">
                  <c:v>1.4483310630000001E-6</c:v>
                </c:pt>
                <c:pt idx="11">
                  <c:v>1.6177014220000001E-6</c:v>
                </c:pt>
                <c:pt idx="12">
                  <c:v>1.7879891849999999E-6</c:v>
                </c:pt>
                <c:pt idx="13">
                  <c:v>2.0193190029999999E-6</c:v>
                </c:pt>
                <c:pt idx="14">
                  <c:v>2.1574236230000001E-6</c:v>
                </c:pt>
                <c:pt idx="15">
                  <c:v>2.5203115740000001E-6</c:v>
                </c:pt>
                <c:pt idx="16">
                  <c:v>2.7844991100000001E-6</c:v>
                </c:pt>
                <c:pt idx="17">
                  <c:v>3.144083868E-6</c:v>
                </c:pt>
                <c:pt idx="18">
                  <c:v>3.4724250469999999E-6</c:v>
                </c:pt>
                <c:pt idx="19">
                  <c:v>3.8755320029999997E-6</c:v>
                </c:pt>
                <c:pt idx="20">
                  <c:v>4.3248994710000002E-6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74-4528-9E9C-3971D54CF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8088642"/>
        <c:axId val="1528855743"/>
      </c:scatterChart>
      <c:valAx>
        <c:axId val="1138088642"/>
        <c:scaling>
          <c:orientation val="minMax"/>
          <c:max val="11.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28855743"/>
        <c:crosses val="autoZero"/>
        <c:crossBetween val="midCat"/>
      </c:valAx>
      <c:valAx>
        <c:axId val="15288557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.00E+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808864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Vth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11</c:v>
                </c:pt>
                <c:pt idx="1">
                  <c:v>10.9</c:v>
                </c:pt>
                <c:pt idx="2">
                  <c:v>10.8</c:v>
                </c:pt>
                <c:pt idx="3">
                  <c:v>10.7</c:v>
                </c:pt>
                <c:pt idx="4">
                  <c:v>10.6</c:v>
                </c:pt>
                <c:pt idx="5">
                  <c:v>10.5</c:v>
                </c:pt>
                <c:pt idx="6">
                  <c:v>10.4</c:v>
                </c:pt>
                <c:pt idx="7">
                  <c:v>10.3</c:v>
                </c:pt>
                <c:pt idx="8">
                  <c:v>10.199999999999999</c:v>
                </c:pt>
                <c:pt idx="9">
                  <c:v>10.1</c:v>
                </c:pt>
                <c:pt idx="10">
                  <c:v>10</c:v>
                </c:pt>
                <c:pt idx="11">
                  <c:v>9.9</c:v>
                </c:pt>
                <c:pt idx="12">
                  <c:v>9.8000000000000007</c:v>
                </c:pt>
                <c:pt idx="13">
                  <c:v>9.6999999999999993</c:v>
                </c:pt>
                <c:pt idx="14">
                  <c:v>9.6</c:v>
                </c:pt>
                <c:pt idx="15">
                  <c:v>9.5000000000000107</c:v>
                </c:pt>
                <c:pt idx="16">
                  <c:v>9.4000000000000092</c:v>
                </c:pt>
                <c:pt idx="17">
                  <c:v>9.3000000000000096</c:v>
                </c:pt>
                <c:pt idx="18">
                  <c:v>9.2000000000000099</c:v>
                </c:pt>
                <c:pt idx="19">
                  <c:v>9.1000000000000103</c:v>
                </c:pt>
                <c:pt idx="20">
                  <c:v>9.0000000000000107</c:v>
                </c:pt>
              </c:numCache>
            </c:numRef>
          </c:xVal>
          <c:yVal>
            <c:numRef>
              <c:f>Sheet1!$E$2:$E$22</c:f>
              <c:numCache>
                <c:formatCode>General</c:formatCode>
                <c:ptCount val="21"/>
                <c:pt idx="0">
                  <c:v>0.26332457909058998</c:v>
                </c:pt>
                <c:pt idx="1">
                  <c:v>0.26317706384052197</c:v>
                </c:pt>
                <c:pt idx="2">
                  <c:v>0.26300149525024802</c:v>
                </c:pt>
                <c:pt idx="3">
                  <c:v>0.26282727512677301</c:v>
                </c:pt>
                <c:pt idx="4">
                  <c:v>0.26269595294249898</c:v>
                </c:pt>
                <c:pt idx="5">
                  <c:v>0.262487188658098</c:v>
                </c:pt>
                <c:pt idx="6">
                  <c:v>0.262269898088971</c:v>
                </c:pt>
                <c:pt idx="7">
                  <c:v>0.26213221128328601</c:v>
                </c:pt>
                <c:pt idx="8">
                  <c:v>0.26187421635032998</c:v>
                </c:pt>
                <c:pt idx="9">
                  <c:v>0.26168720863716699</c:v>
                </c:pt>
                <c:pt idx="10">
                  <c:v>0.26145799869376701</c:v>
                </c:pt>
                <c:pt idx="11">
                  <c:v>0.261182610736722</c:v>
                </c:pt>
                <c:pt idx="12">
                  <c:v>0.261005559024863</c:v>
                </c:pt>
                <c:pt idx="13">
                  <c:v>0.26065754783073097</c:v>
                </c:pt>
                <c:pt idx="14">
                  <c:v>0.26044465660011701</c:v>
                </c:pt>
                <c:pt idx="15">
                  <c:v>0.26011514640892902</c:v>
                </c:pt>
                <c:pt idx="16">
                  <c:v>0.25984997358547002</c:v>
                </c:pt>
                <c:pt idx="17">
                  <c:v>0.25947775462308897</c:v>
                </c:pt>
                <c:pt idx="18">
                  <c:v>0.25918089719877202</c:v>
                </c:pt>
                <c:pt idx="19">
                  <c:v>0.258811904315841</c:v>
                </c:pt>
                <c:pt idx="20">
                  <c:v>0.25843176871086898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23-4CE8-918A-A7145D308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35498"/>
        <c:axId val="424904284"/>
      </c:scatterChart>
      <c:valAx>
        <c:axId val="88635498"/>
        <c:scaling>
          <c:orientation val="minMax"/>
          <c:max val="11.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4904284"/>
        <c:crosses val="autoZero"/>
        <c:crossBetween val="midCat"/>
      </c:valAx>
      <c:valAx>
        <c:axId val="4249042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863549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533400</xdr:colOff>
      <xdr:row>6</xdr:row>
      <xdr:rowOff>0</xdr:rowOff>
    </xdr:from>
    <xdr:ext cx="4343400" cy="2714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466725</xdr:colOff>
      <xdr:row>22</xdr:row>
      <xdr:rowOff>57150</xdr:rowOff>
    </xdr:from>
    <xdr:ext cx="4333875" cy="27527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workbookViewId="0">
      <selection activeCell="G28" sqref="G28"/>
    </sheetView>
  </sheetViews>
  <sheetFormatPr defaultColWidth="14.44140625" defaultRowHeight="15" customHeight="1"/>
  <cols>
    <col min="1" max="1" width="8.6640625" customWidth="1"/>
    <col min="2" max="2" width="14.109375" customWidth="1"/>
    <col min="3" max="3" width="8.6640625" customWidth="1"/>
    <col min="4" max="4" width="25.44140625" customWidth="1"/>
    <col min="5" max="20" width="8.6640625" customWidth="1"/>
  </cols>
  <sheetData>
    <row r="1" spans="1:8" ht="14.25" customHeight="1">
      <c r="A1" t="s">
        <v>0</v>
      </c>
      <c r="B1" t="s">
        <v>1</v>
      </c>
      <c r="D1" t="s">
        <v>5</v>
      </c>
      <c r="E1" t="s">
        <v>2</v>
      </c>
      <c r="G1" t="s">
        <v>4</v>
      </c>
      <c r="H1" t="s">
        <v>3</v>
      </c>
    </row>
    <row r="2" spans="1:8" ht="14.25" customHeight="1">
      <c r="A2">
        <v>11</v>
      </c>
      <c r="B2" s="1">
        <v>4.8055046010000005E-7</v>
      </c>
      <c r="C2" s="1">
        <v>8.3747339350000001E-13</v>
      </c>
      <c r="D2" s="1">
        <f t="shared" ref="D2:D22" si="0">(B2-C2)/C2</f>
        <v>573808.82348784315</v>
      </c>
      <c r="E2">
        <v>0.26332457909058998</v>
      </c>
      <c r="F2">
        <v>0.270993644252016</v>
      </c>
      <c r="G2">
        <f t="shared" ref="G2:G22" si="1">(F2-E2)/F2</f>
        <v>2.8299797150570856E-2</v>
      </c>
    </row>
    <row r="3" spans="1:8" ht="14.25" customHeight="1">
      <c r="A3">
        <v>10.9</v>
      </c>
      <c r="B3" s="1">
        <v>5.3617990020000003E-7</v>
      </c>
      <c r="C3" s="1">
        <v>8.3747339350000001E-13</v>
      </c>
      <c r="D3" s="1">
        <f t="shared" si="0"/>
        <v>640234.14581063518</v>
      </c>
      <c r="E3">
        <v>0.26317706384052197</v>
      </c>
      <c r="F3">
        <v>0.270993644252016</v>
      </c>
      <c r="G3">
        <f t="shared" si="1"/>
        <v>2.8844146633287226E-2</v>
      </c>
    </row>
    <row r="4" spans="1:8" ht="14.25" customHeight="1">
      <c r="A4">
        <v>10.8</v>
      </c>
      <c r="B4" s="1">
        <v>5.9845099340000005E-7</v>
      </c>
      <c r="C4" s="1">
        <v>8.3747339350000001E-13</v>
      </c>
      <c r="D4" s="1">
        <f t="shared" si="0"/>
        <v>714590.05213949701</v>
      </c>
      <c r="E4">
        <v>0.26300149525024802</v>
      </c>
      <c r="F4">
        <v>0.270993644252016</v>
      </c>
      <c r="G4">
        <f t="shared" si="1"/>
        <v>2.949201640439773E-2</v>
      </c>
    </row>
    <row r="5" spans="1:8" ht="14.25" customHeight="1">
      <c r="A5">
        <v>10.7</v>
      </c>
      <c r="B5" s="1">
        <v>6.6780908109999997E-7</v>
      </c>
      <c r="C5" s="1">
        <v>8.3747339350000001E-13</v>
      </c>
      <c r="D5" s="1">
        <f t="shared" si="0"/>
        <v>797408.31029350951</v>
      </c>
      <c r="E5">
        <v>0.26282727512677301</v>
      </c>
      <c r="F5">
        <v>0.270993644252016</v>
      </c>
      <c r="G5">
        <f t="shared" si="1"/>
        <v>3.0134910166559146E-2</v>
      </c>
    </row>
    <row r="6" spans="1:8" ht="14.25" customHeight="1">
      <c r="A6">
        <v>10.6</v>
      </c>
      <c r="B6" s="1">
        <v>7.4568982089999997E-7</v>
      </c>
      <c r="C6" s="1">
        <v>8.3747339350000001E-13</v>
      </c>
      <c r="D6" s="1">
        <f t="shared" si="0"/>
        <v>890403.19276316976</v>
      </c>
      <c r="E6">
        <v>0.26269595294249898</v>
      </c>
      <c r="F6">
        <v>0.270993644252016</v>
      </c>
      <c r="G6">
        <f t="shared" si="1"/>
        <v>3.0619505237548722E-2</v>
      </c>
    </row>
    <row r="7" spans="1:8" ht="14.25" customHeight="1">
      <c r="A7">
        <v>10.5</v>
      </c>
      <c r="B7" s="1">
        <v>8.3278744169999996E-7</v>
      </c>
      <c r="C7" s="1">
        <v>8.3747339350000001E-13</v>
      </c>
      <c r="D7" s="1">
        <f t="shared" si="0"/>
        <v>994403.65591340594</v>
      </c>
      <c r="E7">
        <v>0.262487188658098</v>
      </c>
      <c r="F7">
        <v>0.270993644252016</v>
      </c>
      <c r="G7">
        <f t="shared" si="1"/>
        <v>3.1389871217818097E-2</v>
      </c>
    </row>
    <row r="8" spans="1:8" ht="14.25" customHeight="1">
      <c r="A8">
        <v>10.4</v>
      </c>
      <c r="B8" s="1">
        <v>9.2977983620000004E-7</v>
      </c>
      <c r="C8" s="1">
        <v>8.3747339350000001E-13</v>
      </c>
      <c r="D8" s="1">
        <f t="shared" si="0"/>
        <v>1110219.1495789967</v>
      </c>
      <c r="E8">
        <v>0.262269898088971</v>
      </c>
      <c r="F8">
        <v>0.270993644252016</v>
      </c>
      <c r="G8">
        <f t="shared" si="1"/>
        <v>3.2191700241250586E-2</v>
      </c>
    </row>
    <row r="9" spans="1:8" ht="14.25" customHeight="1">
      <c r="A9">
        <v>10.3</v>
      </c>
      <c r="B9" s="1">
        <v>1.0270616380000001E-6</v>
      </c>
      <c r="C9" s="1">
        <v>8.3747339350000001E-13</v>
      </c>
      <c r="D9" s="1">
        <f t="shared" si="0"/>
        <v>1226380.2151782706</v>
      </c>
      <c r="E9">
        <v>0.26213221128328601</v>
      </c>
      <c r="F9">
        <v>0.270993644252016</v>
      </c>
      <c r="G9">
        <f t="shared" si="1"/>
        <v>3.2699781550924935E-2</v>
      </c>
    </row>
    <row r="10" spans="1:8" ht="14.25" customHeight="1">
      <c r="A10">
        <v>10.199999999999999</v>
      </c>
      <c r="B10" s="1">
        <v>1.1601306479999999E-6</v>
      </c>
      <c r="C10" s="1">
        <v>8.3747339350000001E-13</v>
      </c>
      <c r="D10" s="1">
        <f t="shared" si="0"/>
        <v>1385273.6332054068</v>
      </c>
      <c r="E10">
        <v>0.26187421635032998</v>
      </c>
      <c r="F10">
        <v>0.270993644252016</v>
      </c>
      <c r="G10">
        <f t="shared" si="1"/>
        <v>3.3651814701621638E-2</v>
      </c>
    </row>
    <row r="11" spans="1:8" ht="14.25" customHeight="1">
      <c r="A11">
        <v>10.1</v>
      </c>
      <c r="B11" s="1">
        <v>1.2960579229999999E-6</v>
      </c>
      <c r="C11" s="1">
        <v>8.3747339350000001E-13</v>
      </c>
      <c r="D11" s="1">
        <f t="shared" si="0"/>
        <v>1547580.0133901285</v>
      </c>
      <c r="E11">
        <v>0.26168720863716699</v>
      </c>
      <c r="F11">
        <v>0.270993644252016</v>
      </c>
      <c r="G11">
        <f t="shared" si="1"/>
        <v>3.4341896248290975E-2</v>
      </c>
    </row>
    <row r="12" spans="1:8" ht="14.25" customHeight="1">
      <c r="A12">
        <v>10</v>
      </c>
      <c r="B12" s="1">
        <v>1.4483310630000001E-6</v>
      </c>
      <c r="C12" s="1">
        <v>8.3747339350000001E-13</v>
      </c>
      <c r="D12" s="1">
        <f t="shared" si="0"/>
        <v>1729404.4643898369</v>
      </c>
      <c r="E12">
        <v>0.26145799869376701</v>
      </c>
      <c r="F12">
        <v>0.270993644252016</v>
      </c>
      <c r="G12">
        <f t="shared" si="1"/>
        <v>3.518770923417347E-2</v>
      </c>
    </row>
    <row r="13" spans="1:8" ht="14.25" customHeight="1">
      <c r="A13">
        <v>9.9</v>
      </c>
      <c r="B13" s="1">
        <v>1.6177014220000001E-6</v>
      </c>
      <c r="C13" s="1">
        <v>8.3747339350000001E-13</v>
      </c>
      <c r="D13" s="1">
        <f t="shared" si="0"/>
        <v>1931644.1538110864</v>
      </c>
      <c r="E13">
        <v>0.261182610736722</v>
      </c>
      <c r="F13">
        <v>0.270993644252016</v>
      </c>
      <c r="G13">
        <f t="shared" si="1"/>
        <v>3.6203924790833952E-2</v>
      </c>
    </row>
    <row r="14" spans="1:8" ht="14.25" customHeight="1">
      <c r="A14">
        <v>9.8000000000000007</v>
      </c>
      <c r="B14" s="1">
        <v>1.7879891849999999E-6</v>
      </c>
      <c r="C14" s="1">
        <v>8.3747339350000001E-13</v>
      </c>
      <c r="D14" s="1">
        <f t="shared" si="0"/>
        <v>2134979.2857945957</v>
      </c>
      <c r="E14">
        <v>0.261005559024863</v>
      </c>
      <c r="F14">
        <v>0.270993644252016</v>
      </c>
      <c r="G14">
        <f t="shared" si="1"/>
        <v>3.6857267463676666E-2</v>
      </c>
    </row>
    <row r="15" spans="1:8" ht="14.25" customHeight="1">
      <c r="A15">
        <v>9.6999999999999993</v>
      </c>
      <c r="B15" s="1">
        <v>2.0193190029999999E-6</v>
      </c>
      <c r="C15" s="1">
        <v>8.3747339350000001E-13</v>
      </c>
      <c r="D15" s="1">
        <f t="shared" si="0"/>
        <v>2411202.7691857726</v>
      </c>
      <c r="E15">
        <v>0.26065754783073097</v>
      </c>
      <c r="F15">
        <v>0.270993644252016</v>
      </c>
      <c r="G15">
        <f t="shared" si="1"/>
        <v>3.8141471730136822E-2</v>
      </c>
    </row>
    <row r="16" spans="1:8" ht="14.25" customHeight="1">
      <c r="A16">
        <v>9.6</v>
      </c>
      <c r="B16" s="1">
        <v>2.1574236230000001E-6</v>
      </c>
      <c r="C16" s="1">
        <v>8.3747339350000001E-13</v>
      </c>
      <c r="D16" s="1">
        <f t="shared" si="0"/>
        <v>2576109.0468918956</v>
      </c>
      <c r="E16">
        <v>0.26044465660011701</v>
      </c>
      <c r="F16">
        <v>0.270993644252016</v>
      </c>
      <c r="G16">
        <f t="shared" si="1"/>
        <v>3.892706665138148E-2</v>
      </c>
    </row>
    <row r="17" spans="1:7" ht="14.25" customHeight="1">
      <c r="A17">
        <v>9.5000000000000107</v>
      </c>
      <c r="B17" s="1">
        <v>2.5203115740000001E-6</v>
      </c>
      <c r="C17" s="1">
        <v>8.3747339350000001E-13</v>
      </c>
      <c r="D17" s="1">
        <f t="shared" si="0"/>
        <v>3009421.8587573632</v>
      </c>
      <c r="E17">
        <v>0.26011514640892902</v>
      </c>
      <c r="F17">
        <v>0.270993644252016</v>
      </c>
      <c r="G17">
        <f t="shared" si="1"/>
        <v>4.0142999933128684E-2</v>
      </c>
    </row>
    <row r="18" spans="1:7" ht="14.25" customHeight="1">
      <c r="A18">
        <v>9.4000000000000092</v>
      </c>
      <c r="B18" s="1">
        <v>2.7844991100000001E-6</v>
      </c>
      <c r="C18" s="1">
        <v>8.3747339350000001E-13</v>
      </c>
      <c r="D18" s="1">
        <f t="shared" si="0"/>
        <v>3324879.684702015</v>
      </c>
      <c r="E18">
        <v>0.25984997358547002</v>
      </c>
      <c r="F18">
        <v>0.270993644252016</v>
      </c>
      <c r="G18">
        <f t="shared" si="1"/>
        <v>4.11215203858534E-2</v>
      </c>
    </row>
    <row r="19" spans="1:7" ht="14.25" customHeight="1">
      <c r="A19">
        <v>9.3000000000000096</v>
      </c>
      <c r="B19" s="1">
        <v>3.144083868E-6</v>
      </c>
      <c r="C19" s="1">
        <v>8.3747339350000001E-13</v>
      </c>
      <c r="D19" s="1">
        <f t="shared" si="0"/>
        <v>3754248.2602184382</v>
      </c>
      <c r="E19">
        <v>0.25947775462308897</v>
      </c>
      <c r="F19">
        <v>0.270993644252016</v>
      </c>
      <c r="G19">
        <f t="shared" si="1"/>
        <v>4.2495054305471423E-2</v>
      </c>
    </row>
    <row r="20" spans="1:7" ht="14.25" customHeight="1">
      <c r="A20">
        <v>9.2000000000000099</v>
      </c>
      <c r="B20" s="1">
        <v>3.4724250469999999E-6</v>
      </c>
      <c r="C20" s="1">
        <v>8.3747339350000001E-13</v>
      </c>
      <c r="D20" s="1">
        <f t="shared" si="0"/>
        <v>4146309.8845618507</v>
      </c>
      <c r="E20">
        <v>0.25918089719877202</v>
      </c>
      <c r="F20">
        <v>0.270993644252016</v>
      </c>
      <c r="G20">
        <f t="shared" si="1"/>
        <v>4.3590494846655795E-2</v>
      </c>
    </row>
    <row r="21" spans="1:7" ht="14.25" customHeight="1">
      <c r="A21">
        <v>9.1000000000000103</v>
      </c>
      <c r="B21" s="1">
        <v>3.8755320029999997E-6</v>
      </c>
      <c r="C21" s="1">
        <v>8.3747339350000001E-13</v>
      </c>
      <c r="D21" s="1">
        <f t="shared" si="0"/>
        <v>4627646.9146438697</v>
      </c>
      <c r="E21">
        <v>0.258811904315841</v>
      </c>
      <c r="F21">
        <v>0.270993644252016</v>
      </c>
      <c r="G21">
        <f t="shared" si="1"/>
        <v>4.4952124134861042E-2</v>
      </c>
    </row>
    <row r="22" spans="1:7" ht="14.25" customHeight="1">
      <c r="A22">
        <v>9.0000000000000107</v>
      </c>
      <c r="B22" s="1">
        <v>4.3248994710000002E-6</v>
      </c>
      <c r="C22" s="1">
        <v>8.3747339350000001E-13</v>
      </c>
      <c r="D22" s="1">
        <f t="shared" si="0"/>
        <v>5164222.131824187</v>
      </c>
      <c r="E22">
        <v>0.25843176871086898</v>
      </c>
      <c r="F22">
        <v>0.270993644252016</v>
      </c>
      <c r="G22">
        <f t="shared" si="1"/>
        <v>4.635487144290678E-2</v>
      </c>
    </row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Joydeep De</dc:creator>
  <cp:lastModifiedBy>Jash Saha</cp:lastModifiedBy>
  <dcterms:created xsi:type="dcterms:W3CDTF">2025-03-14T12:29:18Z</dcterms:created>
  <dcterms:modified xsi:type="dcterms:W3CDTF">2026-04-22T16:04:21Z</dcterms:modified>
</cp:coreProperties>
</file>