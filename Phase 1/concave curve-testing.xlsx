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sh\Downloads\PROJECTS\ece 2\"/>
    </mc:Choice>
  </mc:AlternateContent>
  <xr:revisionPtr revIDLastSave="0" documentId="13_ncr:1_{2BCC9692-5A92-43B4-ABB4-D4F480FC9F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1" l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H3" i="1"/>
  <c r="D3" i="1"/>
  <c r="H2" i="1"/>
  <c r="D2" i="1"/>
</calcChain>
</file>

<file path=xl/sharedStrings.xml><?xml version="1.0" encoding="utf-8"?>
<sst xmlns="http://schemas.openxmlformats.org/spreadsheetml/2006/main" count="5" uniqueCount="5">
  <si>
    <t>Width</t>
  </si>
  <si>
    <t>Id</t>
  </si>
  <si>
    <t>Vth</t>
  </si>
  <si>
    <t>Vth sensitivity</t>
  </si>
  <si>
    <t>id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</si>
</sst>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2019932541327069E-2"/>
          <c:y val="3.327283726557774E-2"/>
          <c:w val="0.92330360431919689"/>
          <c:h val="0.88988715339802138"/>
        </c:manualLayout>
      </c:layout>
      <c:scatterChart>
        <c:scatterStyle val="lineMarker"/>
        <c:varyColors val="0"/>
        <c:ser>
          <c:idx val="0"/>
          <c:order val="0"/>
          <c:tx>
            <c:v>Id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11</c:v>
                </c:pt>
                <c:pt idx="1">
                  <c:v>10.9</c:v>
                </c:pt>
                <c:pt idx="2">
                  <c:v>10.8</c:v>
                </c:pt>
                <c:pt idx="3">
                  <c:v>10.7</c:v>
                </c:pt>
                <c:pt idx="4">
                  <c:v>10.6</c:v>
                </c:pt>
                <c:pt idx="5">
                  <c:v>10.5</c:v>
                </c:pt>
                <c:pt idx="6">
                  <c:v>10.4</c:v>
                </c:pt>
                <c:pt idx="7">
                  <c:v>10.3</c:v>
                </c:pt>
                <c:pt idx="8">
                  <c:v>10.199999999999999</c:v>
                </c:pt>
                <c:pt idx="9">
                  <c:v>10.1</c:v>
                </c:pt>
                <c:pt idx="10">
                  <c:v>10</c:v>
                </c:pt>
                <c:pt idx="11">
                  <c:v>9.9</c:v>
                </c:pt>
                <c:pt idx="12">
                  <c:v>9.8000000000000007</c:v>
                </c:pt>
                <c:pt idx="13">
                  <c:v>9.6999999999999993</c:v>
                </c:pt>
                <c:pt idx="14">
                  <c:v>9.6</c:v>
                </c:pt>
                <c:pt idx="15">
                  <c:v>9.5000000000000107</c:v>
                </c:pt>
                <c:pt idx="16">
                  <c:v>9.4000000000000092</c:v>
                </c:pt>
                <c:pt idx="17">
                  <c:v>9.3000000000000096</c:v>
                </c:pt>
                <c:pt idx="18">
                  <c:v>9.2000000000000099</c:v>
                </c:pt>
                <c:pt idx="19">
                  <c:v>9.1000000000000103</c:v>
                </c:pt>
                <c:pt idx="20">
                  <c:v>9.0000000000000107</c:v>
                </c:pt>
              </c:numCache>
            </c:numRef>
          </c:xVal>
          <c:yVal>
            <c:numRef>
              <c:f>Sheet1!$B$2:$B$22</c:f>
              <c:numCache>
                <c:formatCode>0.00E+00</c:formatCode>
                <c:ptCount val="21"/>
                <c:pt idx="0">
                  <c:v>4.8176873010000003E-8</c:v>
                </c:pt>
                <c:pt idx="1">
                  <c:v>5.335286089E-8</c:v>
                </c:pt>
                <c:pt idx="2">
                  <c:v>5.8718165430000001E-8</c:v>
                </c:pt>
                <c:pt idx="3">
                  <c:v>6.4848055409999999E-8</c:v>
                </c:pt>
                <c:pt idx="4">
                  <c:v>7.1896347180000006E-8</c:v>
                </c:pt>
                <c:pt idx="5">
                  <c:v>7.9714712849999995E-8</c:v>
                </c:pt>
                <c:pt idx="6">
                  <c:v>8.7837977279999994E-8</c:v>
                </c:pt>
                <c:pt idx="7">
                  <c:v>9.6057202569999998E-8</c:v>
                </c:pt>
                <c:pt idx="8">
                  <c:v>1.0778251530000001E-7</c:v>
                </c:pt>
                <c:pt idx="9">
                  <c:v>1.196512613E-7</c:v>
                </c:pt>
                <c:pt idx="10">
                  <c:v>1.328309664E-7</c:v>
                </c:pt>
                <c:pt idx="11">
                  <c:v>1.460728489E-7</c:v>
                </c:pt>
                <c:pt idx="12">
                  <c:v>1.605430946E-7</c:v>
                </c:pt>
                <c:pt idx="13">
                  <c:v>1.8037108030000001E-7</c:v>
                </c:pt>
                <c:pt idx="14">
                  <c:v>2.0019906600000001E-7</c:v>
                </c:pt>
                <c:pt idx="15">
                  <c:v>2.206954076E-7</c:v>
                </c:pt>
                <c:pt idx="16">
                  <c:v>2.4281179680000001E-7</c:v>
                </c:pt>
                <c:pt idx="17">
                  <c:v>2.731228234E-7</c:v>
                </c:pt>
                <c:pt idx="18">
                  <c:v>3.0059662620000001E-7</c:v>
                </c:pt>
                <c:pt idx="19">
                  <c:v>3.345435879E-7</c:v>
                </c:pt>
                <c:pt idx="20">
                  <c:v>3.6877827989999998E-7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5E-417B-92A2-31AA2BEED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601148"/>
        <c:axId val="1941307613"/>
      </c:scatterChart>
      <c:valAx>
        <c:axId val="1934601148"/>
        <c:scaling>
          <c:orientation val="minMax"/>
          <c:max val="11.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1307613"/>
        <c:crosses val="autoZero"/>
        <c:crossBetween val="midCat"/>
      </c:valAx>
      <c:valAx>
        <c:axId val="1941307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460114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518160</xdr:colOff>
      <xdr:row>1</xdr:row>
      <xdr:rowOff>1</xdr:rowOff>
    </xdr:from>
    <xdr:ext cx="6949440" cy="4198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D1" sqref="D1"/>
    </sheetView>
  </sheetViews>
  <sheetFormatPr defaultColWidth="14.44140625" defaultRowHeight="15" customHeight="1"/>
  <cols>
    <col min="1" max="7" width="8.6640625" customWidth="1"/>
    <col min="8" max="8" width="13" customWidth="1"/>
    <col min="9" max="20" width="8.6640625" customWidth="1"/>
  </cols>
  <sheetData>
    <row r="1" spans="1:8" ht="14.25" customHeight="1">
      <c r="A1" t="s">
        <v>0</v>
      </c>
      <c r="B1" t="s">
        <v>1</v>
      </c>
      <c r="D1" t="s">
        <v>4</v>
      </c>
      <c r="F1" t="s">
        <v>2</v>
      </c>
      <c r="H1" t="s">
        <v>3</v>
      </c>
    </row>
    <row r="2" spans="1:8" ht="14.25" customHeight="1">
      <c r="A2">
        <v>11</v>
      </c>
      <c r="B2" s="1">
        <v>4.8176873010000003E-8</v>
      </c>
      <c r="C2" s="1">
        <v>8.3747339350000001E-13</v>
      </c>
      <c r="D2" s="1">
        <f t="shared" ref="D2:D22" si="0">(B2-C2)/C2</f>
        <v>57525.452044831443</v>
      </c>
      <c r="E2" s="1"/>
      <c r="F2">
        <v>0.26578209478588799</v>
      </c>
      <c r="G2">
        <v>0.270993644252016</v>
      </c>
      <c r="H2">
        <f t="shared" ref="H2:H22" si="1">(G2-F2)/G2</f>
        <v>1.9231260867806264E-2</v>
      </c>
    </row>
    <row r="3" spans="1:8" ht="14.25" customHeight="1">
      <c r="A3">
        <v>10.9</v>
      </c>
      <c r="B3" s="1">
        <v>5.335286089E-8</v>
      </c>
      <c r="C3" s="1">
        <v>8.3747339350000001E-13</v>
      </c>
      <c r="D3" s="1">
        <f t="shared" si="0"/>
        <v>63705.932428056891</v>
      </c>
      <c r="E3" s="1"/>
      <c r="F3">
        <v>0.26545609445888702</v>
      </c>
      <c r="G3">
        <v>0.270993644252016</v>
      </c>
      <c r="H3">
        <f t="shared" si="1"/>
        <v>2.0434242317429505E-2</v>
      </c>
    </row>
    <row r="4" spans="1:8" ht="14.25" customHeight="1">
      <c r="A4">
        <v>10.8</v>
      </c>
      <c r="B4" s="1">
        <v>5.8718165430000001E-8</v>
      </c>
      <c r="C4" s="1">
        <v>8.3747339350000001E-13</v>
      </c>
      <c r="D4" s="1">
        <f t="shared" si="0"/>
        <v>70112.469736158251</v>
      </c>
      <c r="E4" s="1"/>
      <c r="F4">
        <v>0.26533578049707102</v>
      </c>
      <c r="G4">
        <v>0.270993644252016</v>
      </c>
      <c r="H4">
        <f t="shared" si="1"/>
        <v>2.0878215688643002E-2</v>
      </c>
    </row>
    <row r="5" spans="1:8" ht="14.25" customHeight="1">
      <c r="A5">
        <v>10.7</v>
      </c>
      <c r="B5" s="1">
        <v>6.4848055409999999E-8</v>
      </c>
      <c r="C5" s="1">
        <v>8.3747339350000001E-13</v>
      </c>
      <c r="D5" s="1">
        <f t="shared" si="0"/>
        <v>77431.973887068336</v>
      </c>
      <c r="E5" s="1"/>
      <c r="F5">
        <v>0.265226495266424</v>
      </c>
      <c r="G5">
        <v>0.270993644252016</v>
      </c>
      <c r="H5">
        <f t="shared" si="1"/>
        <v>2.1281491680405318E-2</v>
      </c>
    </row>
    <row r="6" spans="1:8" ht="14.25" customHeight="1">
      <c r="A6">
        <v>10.6</v>
      </c>
      <c r="B6" s="1">
        <v>7.1896347180000006E-8</v>
      </c>
      <c r="C6" s="1">
        <v>8.3747339350000001E-13</v>
      </c>
      <c r="D6" s="1">
        <f t="shared" si="0"/>
        <v>85848.112029133379</v>
      </c>
      <c r="E6" s="1"/>
      <c r="F6">
        <v>0.26515497556087197</v>
      </c>
      <c r="G6">
        <v>0.270993644252016</v>
      </c>
      <c r="H6">
        <f t="shared" si="1"/>
        <v>2.1545408222615858E-2</v>
      </c>
    </row>
    <row r="7" spans="1:8" ht="14.25" customHeight="1">
      <c r="A7">
        <v>10.5</v>
      </c>
      <c r="B7" s="1">
        <v>7.9714712849999995E-8</v>
      </c>
      <c r="C7" s="1">
        <v>8.3747339350000001E-13</v>
      </c>
      <c r="D7" s="1">
        <f t="shared" si="0"/>
        <v>95183.770607282582</v>
      </c>
      <c r="E7" s="1"/>
      <c r="F7">
        <v>0.26507622589013502</v>
      </c>
      <c r="G7">
        <v>0.270993644252016</v>
      </c>
      <c r="H7">
        <f t="shared" si="1"/>
        <v>2.1836004228859163E-2</v>
      </c>
    </row>
    <row r="8" spans="1:8" ht="14.25" customHeight="1">
      <c r="A8">
        <v>10.4</v>
      </c>
      <c r="B8" s="1">
        <v>8.7837977279999994E-8</v>
      </c>
      <c r="C8" s="1">
        <v>8.3747339350000001E-13</v>
      </c>
      <c r="D8" s="1">
        <f t="shared" si="0"/>
        <v>104883.49897244407</v>
      </c>
      <c r="E8" s="1"/>
      <c r="F8">
        <v>0.26495381364453102</v>
      </c>
      <c r="G8">
        <v>0.270993644252016</v>
      </c>
      <c r="H8">
        <f t="shared" si="1"/>
        <v>2.2287720526272242E-2</v>
      </c>
    </row>
    <row r="9" spans="1:8" ht="14.25" customHeight="1">
      <c r="A9">
        <v>10.3</v>
      </c>
      <c r="B9" s="1">
        <v>9.6057202569999998E-8</v>
      </c>
      <c r="C9" s="1">
        <v>8.3747339350000001E-13</v>
      </c>
      <c r="D9" s="1">
        <f t="shared" si="0"/>
        <v>114697.81110915555</v>
      </c>
      <c r="E9" s="1"/>
      <c r="F9">
        <v>0.26485359646962398</v>
      </c>
      <c r="G9">
        <v>0.270993644252016</v>
      </c>
      <c r="H9">
        <f t="shared" si="1"/>
        <v>2.265753427295129E-2</v>
      </c>
    </row>
    <row r="10" spans="1:8" ht="14.25" customHeight="1">
      <c r="A10">
        <v>10.199999999999999</v>
      </c>
      <c r="B10" s="1">
        <v>1.0778251530000001E-7</v>
      </c>
      <c r="C10" s="1">
        <v>8.3747339350000001E-13</v>
      </c>
      <c r="D10" s="1">
        <f t="shared" si="0"/>
        <v>128698.62930947728</v>
      </c>
      <c r="E10" s="1"/>
      <c r="F10">
        <v>0.26474754217033802</v>
      </c>
      <c r="G10">
        <v>0.270993644252016</v>
      </c>
      <c r="H10">
        <f t="shared" si="1"/>
        <v>2.3048887729150154E-2</v>
      </c>
    </row>
    <row r="11" spans="1:8" ht="14.25" customHeight="1">
      <c r="A11">
        <v>10.1</v>
      </c>
      <c r="B11" s="1">
        <v>1.196512613E-7</v>
      </c>
      <c r="C11" s="1">
        <v>8.3747339350000001E-13</v>
      </c>
      <c r="D11" s="1">
        <f t="shared" si="0"/>
        <v>142870.71655680783</v>
      </c>
      <c r="E11" s="1"/>
      <c r="F11">
        <v>0.264660503486426</v>
      </c>
      <c r="G11">
        <v>0.270993644252016</v>
      </c>
      <c r="H11">
        <f t="shared" si="1"/>
        <v>2.3370071217243618E-2</v>
      </c>
    </row>
    <row r="12" spans="1:8" ht="14.25" customHeight="1">
      <c r="A12">
        <v>10</v>
      </c>
      <c r="B12" s="1">
        <v>1.328309664E-7</v>
      </c>
      <c r="C12" s="1">
        <v>8.3747339350000001E-13</v>
      </c>
      <c r="D12" s="1">
        <f t="shared" si="0"/>
        <v>158608.1778329433</v>
      </c>
      <c r="E12" s="1"/>
      <c r="F12">
        <v>0.26452953386419498</v>
      </c>
      <c r="G12">
        <v>0.270993644252016</v>
      </c>
      <c r="H12">
        <f t="shared" si="1"/>
        <v>2.3853365290772616E-2</v>
      </c>
    </row>
    <row r="13" spans="1:8" ht="14.25" customHeight="1">
      <c r="A13">
        <v>9.9</v>
      </c>
      <c r="B13" s="1">
        <v>1.460728489E-7</v>
      </c>
      <c r="C13" s="1">
        <v>8.3747339350000001E-13</v>
      </c>
      <c r="D13" s="1">
        <f t="shared" si="0"/>
        <v>174419.88313937583</v>
      </c>
      <c r="E13" s="1"/>
      <c r="F13">
        <v>0.26440189432622702</v>
      </c>
      <c r="G13">
        <v>0.270993644252016</v>
      </c>
      <c r="H13">
        <f t="shared" si="1"/>
        <v>2.432437094228989E-2</v>
      </c>
    </row>
    <row r="14" spans="1:8" ht="14.25" customHeight="1">
      <c r="A14">
        <v>9.8000000000000007</v>
      </c>
      <c r="B14" s="1">
        <v>1.605430946E-7</v>
      </c>
      <c r="C14" s="1">
        <v>8.3747339350000001E-13</v>
      </c>
      <c r="D14" s="1">
        <f t="shared" si="0"/>
        <v>191698.3373712475</v>
      </c>
      <c r="E14" s="1"/>
      <c r="F14">
        <v>0.264314400149878</v>
      </c>
      <c r="G14">
        <v>0.270993644252016</v>
      </c>
      <c r="H14">
        <f t="shared" si="1"/>
        <v>2.4647235253703943E-2</v>
      </c>
    </row>
    <row r="15" spans="1:8" ht="14.25" customHeight="1">
      <c r="A15">
        <v>9.6999999999999993</v>
      </c>
      <c r="B15" s="1">
        <v>1.8037108030000001E-7</v>
      </c>
      <c r="C15" s="1">
        <v>8.3747339350000001E-13</v>
      </c>
      <c r="D15" s="1">
        <f t="shared" si="0"/>
        <v>215374.29633769792</v>
      </c>
      <c r="E15" s="1"/>
      <c r="F15">
        <v>0.26419356878102901</v>
      </c>
      <c r="G15">
        <v>0.270993644252016</v>
      </c>
      <c r="H15">
        <f t="shared" si="1"/>
        <v>2.5093117920740315E-2</v>
      </c>
    </row>
    <row r="16" spans="1:8" ht="14.25" customHeight="1">
      <c r="A16">
        <v>9.6</v>
      </c>
      <c r="B16" s="1">
        <v>2.0019906600000001E-7</v>
      </c>
      <c r="C16" s="1">
        <v>8.3747339350000001E-13</v>
      </c>
      <c r="D16" s="1">
        <f t="shared" si="0"/>
        <v>239050.25530414836</v>
      </c>
      <c r="E16" s="1"/>
      <c r="F16">
        <v>0.26408977042593401</v>
      </c>
      <c r="G16">
        <v>0.270993644252016</v>
      </c>
      <c r="H16">
        <f t="shared" si="1"/>
        <v>2.547614666439036E-2</v>
      </c>
    </row>
    <row r="17" spans="1:8" ht="14.25" customHeight="1">
      <c r="A17">
        <v>9.5000000000000107</v>
      </c>
      <c r="B17" s="1">
        <v>2.206954076E-7</v>
      </c>
      <c r="C17" s="1">
        <v>8.3747339350000001E-13</v>
      </c>
      <c r="D17" s="1">
        <f t="shared" si="0"/>
        <v>263524.27651972504</v>
      </c>
      <c r="E17" s="1"/>
      <c r="F17">
        <v>0.263925722841724</v>
      </c>
      <c r="G17">
        <v>0.270993644252016</v>
      </c>
      <c r="H17">
        <f t="shared" si="1"/>
        <v>2.6081502500918598E-2</v>
      </c>
    </row>
    <row r="18" spans="1:8" ht="14.25" customHeight="1">
      <c r="A18">
        <v>9.4000000000000092</v>
      </c>
      <c r="B18" s="1">
        <v>2.4281179680000001E-7</v>
      </c>
      <c r="C18" s="1">
        <v>8.3747339350000001E-13</v>
      </c>
      <c r="D18" s="1">
        <f t="shared" si="0"/>
        <v>289932.74438468058</v>
      </c>
      <c r="E18" s="1"/>
      <c r="F18">
        <v>0.263824247627168</v>
      </c>
      <c r="G18">
        <v>0.270993644252016</v>
      </c>
      <c r="H18">
        <f t="shared" si="1"/>
        <v>2.6455958569200525E-2</v>
      </c>
    </row>
    <row r="19" spans="1:8" ht="14.25" customHeight="1">
      <c r="A19">
        <v>9.3000000000000096</v>
      </c>
      <c r="B19" s="1">
        <v>2.731228234E-7</v>
      </c>
      <c r="C19" s="1">
        <v>8.3747339350000001E-13</v>
      </c>
      <c r="D19" s="1">
        <f t="shared" si="0"/>
        <v>326126.16477899667</v>
      </c>
      <c r="E19" s="1"/>
      <c r="F19">
        <v>0.26369715141209599</v>
      </c>
      <c r="G19">
        <v>0.270993644252016</v>
      </c>
      <c r="H19">
        <f t="shared" si="1"/>
        <v>2.6924959292161443E-2</v>
      </c>
    </row>
    <row r="20" spans="1:8" ht="14.25" customHeight="1">
      <c r="A20">
        <v>9.2000000000000099</v>
      </c>
      <c r="B20" s="1">
        <v>3.0059662620000001E-7</v>
      </c>
      <c r="C20" s="1">
        <v>8.3747339350000001E-13</v>
      </c>
      <c r="D20" s="1">
        <f t="shared" si="0"/>
        <v>358931.74763480591</v>
      </c>
      <c r="E20" s="1"/>
      <c r="F20">
        <v>0.26358371169385097</v>
      </c>
      <c r="G20">
        <v>0.270993644252016</v>
      </c>
      <c r="H20">
        <f t="shared" si="1"/>
        <v>2.7343565856009545E-2</v>
      </c>
    </row>
    <row r="21" spans="1:8" ht="14.25" customHeight="1">
      <c r="A21">
        <v>9.1000000000000103</v>
      </c>
      <c r="B21" s="1">
        <v>3.345435879E-7</v>
      </c>
      <c r="C21" s="1">
        <v>8.3747339350000001E-13</v>
      </c>
      <c r="D21" s="1">
        <f t="shared" si="0"/>
        <v>399466.72100050008</v>
      </c>
      <c r="E21" s="1"/>
      <c r="F21">
        <v>0.26342634282081001</v>
      </c>
      <c r="G21">
        <v>0.270993644252016</v>
      </c>
      <c r="H21">
        <f t="shared" si="1"/>
        <v>2.7924276423872959E-2</v>
      </c>
    </row>
    <row r="22" spans="1:8" ht="14.25" customHeight="1">
      <c r="A22">
        <v>9.0000000000000107</v>
      </c>
      <c r="B22" s="1">
        <v>3.6877827989999998E-7</v>
      </c>
      <c r="C22" s="1">
        <v>8.3747339350000001E-13</v>
      </c>
      <c r="D22" s="1">
        <f t="shared" si="0"/>
        <v>440345.26384820184</v>
      </c>
      <c r="E22" s="1"/>
      <c r="F22">
        <v>0.26328130459371302</v>
      </c>
      <c r="G22">
        <v>0.270993644252016</v>
      </c>
      <c r="H22">
        <f t="shared" si="1"/>
        <v>2.84594853860511E-2</v>
      </c>
    </row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Joydeep De</dc:creator>
  <cp:lastModifiedBy>Jash Saha</cp:lastModifiedBy>
  <dcterms:created xsi:type="dcterms:W3CDTF">2025-03-14T16:01:33Z</dcterms:created>
  <dcterms:modified xsi:type="dcterms:W3CDTF">2026-04-20T08:21:33Z</dcterms:modified>
</cp:coreProperties>
</file>