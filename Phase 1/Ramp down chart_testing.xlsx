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ash\Downloads\PROJECTS\ece 2\"/>
    </mc:Choice>
  </mc:AlternateContent>
  <xr:revisionPtr revIDLastSave="0" documentId="13_ncr:1_{A3E513F1-C761-4ED6-B97F-8D92DE0A08B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2" i="1" l="1"/>
  <c r="D22" i="1"/>
  <c r="H21" i="1"/>
  <c r="D21" i="1"/>
  <c r="H20" i="1"/>
  <c r="D20" i="1"/>
  <c r="H19" i="1"/>
  <c r="D19" i="1"/>
  <c r="H18" i="1"/>
  <c r="D18" i="1"/>
  <c r="H17" i="1"/>
  <c r="D17" i="1"/>
  <c r="H16" i="1"/>
  <c r="D16" i="1"/>
  <c r="H15" i="1"/>
  <c r="D15" i="1"/>
  <c r="H14" i="1"/>
  <c r="D14" i="1"/>
  <c r="H13" i="1"/>
  <c r="D13" i="1"/>
  <c r="H12" i="1"/>
  <c r="D12" i="1"/>
  <c r="H11" i="1"/>
  <c r="D11" i="1"/>
  <c r="H10" i="1"/>
  <c r="D10" i="1"/>
  <c r="H9" i="1"/>
  <c r="D9" i="1"/>
  <c r="H8" i="1"/>
  <c r="D8" i="1"/>
  <c r="H7" i="1"/>
  <c r="D7" i="1"/>
  <c r="H6" i="1"/>
  <c r="D6" i="1"/>
  <c r="H5" i="1"/>
  <c r="D5" i="1"/>
  <c r="H4" i="1"/>
  <c r="D4" i="1"/>
  <c r="H3" i="1"/>
  <c r="D3" i="1"/>
  <c r="H2" i="1"/>
  <c r="D2" i="1"/>
</calcChain>
</file>

<file path=xl/sharedStrings.xml><?xml version="1.0" encoding="utf-8"?>
<sst xmlns="http://schemas.openxmlformats.org/spreadsheetml/2006/main" count="6" uniqueCount="6">
  <si>
    <t>Width</t>
  </si>
  <si>
    <t>Vth</t>
  </si>
  <si>
    <t>Ramp down</t>
  </si>
  <si>
    <t>Vth sensitivity</t>
  </si>
  <si>
    <t>id sensitivity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</si>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</sst>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Ion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xVal>
            <c:numRef>
              <c:f>Sheet1!$A$2:$A$22</c:f>
              <c:numCache>
                <c:formatCode>General</c:formatCode>
                <c:ptCount val="21"/>
                <c:pt idx="0">
                  <c:v>11</c:v>
                </c:pt>
                <c:pt idx="1">
                  <c:v>10.9</c:v>
                </c:pt>
                <c:pt idx="2">
                  <c:v>10.8</c:v>
                </c:pt>
                <c:pt idx="3">
                  <c:v>10.7</c:v>
                </c:pt>
                <c:pt idx="4">
                  <c:v>10.6</c:v>
                </c:pt>
                <c:pt idx="5">
                  <c:v>10.5</c:v>
                </c:pt>
                <c:pt idx="6">
                  <c:v>10.4</c:v>
                </c:pt>
                <c:pt idx="7">
                  <c:v>10.3</c:v>
                </c:pt>
                <c:pt idx="8">
                  <c:v>10.199999999999999</c:v>
                </c:pt>
                <c:pt idx="9">
                  <c:v>10.1</c:v>
                </c:pt>
                <c:pt idx="10">
                  <c:v>10</c:v>
                </c:pt>
                <c:pt idx="11">
                  <c:v>9.9</c:v>
                </c:pt>
                <c:pt idx="12">
                  <c:v>9.8000000000000007</c:v>
                </c:pt>
                <c:pt idx="13">
                  <c:v>9.6999999999999993</c:v>
                </c:pt>
                <c:pt idx="14">
                  <c:v>9.6</c:v>
                </c:pt>
                <c:pt idx="15">
                  <c:v>9.5000000000000107</c:v>
                </c:pt>
                <c:pt idx="16">
                  <c:v>9.4000000000000092</c:v>
                </c:pt>
                <c:pt idx="17">
                  <c:v>9.3000000000000096</c:v>
                </c:pt>
                <c:pt idx="18">
                  <c:v>9.2000000000000099</c:v>
                </c:pt>
                <c:pt idx="19">
                  <c:v>9.1000000000000103</c:v>
                </c:pt>
                <c:pt idx="20">
                  <c:v>9.0000000000000107</c:v>
                </c:pt>
              </c:numCache>
            </c:numRef>
          </c:xVal>
          <c:yVal>
            <c:numRef>
              <c:f>Sheet1!$B$2:$B$22</c:f>
              <c:numCache>
                <c:formatCode>0.00E+00</c:formatCode>
                <c:ptCount val="21"/>
                <c:pt idx="0">
                  <c:v>3.2776325029999997E-8</c:v>
                </c:pt>
                <c:pt idx="1">
                  <c:v>3.6391819879999997E-8</c:v>
                </c:pt>
                <c:pt idx="2">
                  <c:v>4.0030354330000002E-8</c:v>
                </c:pt>
                <c:pt idx="3">
                  <c:v>4.4407887880000002E-8</c:v>
                </c:pt>
                <c:pt idx="4">
                  <c:v>4.9409064300000002E-8</c:v>
                </c:pt>
                <c:pt idx="5">
                  <c:v>5.4930585859999997E-8</c:v>
                </c:pt>
                <c:pt idx="6">
                  <c:v>6.0493483399999996E-8</c:v>
                </c:pt>
                <c:pt idx="7">
                  <c:v>6.6442251880000003E-8</c:v>
                </c:pt>
                <c:pt idx="8">
                  <c:v>7.4859343540000003E-8</c:v>
                </c:pt>
                <c:pt idx="9">
                  <c:v>8.3343128260000001E-8</c:v>
                </c:pt>
                <c:pt idx="10">
                  <c:v>9.2890383779999997E-8</c:v>
                </c:pt>
                <c:pt idx="11">
                  <c:v>1.0216143859999999E-7</c:v>
                </c:pt>
                <c:pt idx="12">
                  <c:v>1.127352069E-7</c:v>
                </c:pt>
                <c:pt idx="13">
                  <c:v>1.2710106289999999E-7</c:v>
                </c:pt>
                <c:pt idx="14">
                  <c:v>1.338827435E-7</c:v>
                </c:pt>
                <c:pt idx="15">
                  <c:v>1.5615540800000001E-7</c:v>
                </c:pt>
                <c:pt idx="16">
                  <c:v>1.724785849E-7</c:v>
                </c:pt>
                <c:pt idx="17">
                  <c:v>1.948329813E-7</c:v>
                </c:pt>
                <c:pt idx="18">
                  <c:v>2.1538774619999999E-7</c:v>
                </c:pt>
                <c:pt idx="19">
                  <c:v>2.4056815010000002E-7</c:v>
                </c:pt>
                <c:pt idx="20">
                  <c:v>2.6521420340000001E-7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57-4BB3-B138-224FCA3B0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9593642"/>
        <c:axId val="1811970677"/>
      </c:scatterChart>
      <c:valAx>
        <c:axId val="1409593642"/>
        <c:scaling>
          <c:orientation val="minMax"/>
          <c:max val="11.1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11970677"/>
        <c:crosses val="autoZero"/>
        <c:crossBetween val="midCat"/>
        <c:majorUnit val="0.1"/>
      </c:valAx>
      <c:valAx>
        <c:axId val="18119706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0.00E+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09593642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Vth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xVal>
            <c:numRef>
              <c:f>Sheet1!$A$2:$A$22</c:f>
              <c:numCache>
                <c:formatCode>General</c:formatCode>
                <c:ptCount val="21"/>
                <c:pt idx="0">
                  <c:v>11</c:v>
                </c:pt>
                <c:pt idx="1">
                  <c:v>10.9</c:v>
                </c:pt>
                <c:pt idx="2">
                  <c:v>10.8</c:v>
                </c:pt>
                <c:pt idx="3">
                  <c:v>10.7</c:v>
                </c:pt>
                <c:pt idx="4">
                  <c:v>10.6</c:v>
                </c:pt>
                <c:pt idx="5">
                  <c:v>10.5</c:v>
                </c:pt>
                <c:pt idx="6">
                  <c:v>10.4</c:v>
                </c:pt>
                <c:pt idx="7">
                  <c:v>10.3</c:v>
                </c:pt>
                <c:pt idx="8">
                  <c:v>10.199999999999999</c:v>
                </c:pt>
                <c:pt idx="9">
                  <c:v>10.1</c:v>
                </c:pt>
                <c:pt idx="10">
                  <c:v>10</c:v>
                </c:pt>
                <c:pt idx="11">
                  <c:v>9.9</c:v>
                </c:pt>
                <c:pt idx="12">
                  <c:v>9.8000000000000007</c:v>
                </c:pt>
                <c:pt idx="13">
                  <c:v>9.6999999999999993</c:v>
                </c:pt>
                <c:pt idx="14">
                  <c:v>9.6</c:v>
                </c:pt>
                <c:pt idx="15">
                  <c:v>9.5000000000000107</c:v>
                </c:pt>
                <c:pt idx="16">
                  <c:v>9.4000000000000092</c:v>
                </c:pt>
                <c:pt idx="17">
                  <c:v>9.3000000000000096</c:v>
                </c:pt>
                <c:pt idx="18">
                  <c:v>9.2000000000000099</c:v>
                </c:pt>
                <c:pt idx="19">
                  <c:v>9.1000000000000103</c:v>
                </c:pt>
                <c:pt idx="20">
                  <c:v>9.0000000000000107</c:v>
                </c:pt>
              </c:numCache>
            </c:numRef>
          </c:xVal>
          <c:yVal>
            <c:numRef>
              <c:f>Sheet1!$F$2:$F$22</c:f>
              <c:numCache>
                <c:formatCode>General</c:formatCode>
                <c:ptCount val="21"/>
                <c:pt idx="0">
                  <c:v>0.26630797616544499</c:v>
                </c:pt>
                <c:pt idx="1">
                  <c:v>0.26619332591267297</c:v>
                </c:pt>
                <c:pt idx="2">
                  <c:v>0.26615569223494001</c:v>
                </c:pt>
                <c:pt idx="3">
                  <c:v>0.26607482004647398</c:v>
                </c:pt>
                <c:pt idx="4">
                  <c:v>0.26596602261080099</c:v>
                </c:pt>
                <c:pt idx="5">
                  <c:v>0.26584480491950402</c:v>
                </c:pt>
                <c:pt idx="6">
                  <c:v>0.26580195432380299</c:v>
                </c:pt>
                <c:pt idx="7">
                  <c:v>0.26573505205912301</c:v>
                </c:pt>
                <c:pt idx="8">
                  <c:v>0.26561551629206798</c:v>
                </c:pt>
                <c:pt idx="9">
                  <c:v>0.26548078661087599</c:v>
                </c:pt>
                <c:pt idx="10">
                  <c:v>0.26539585235319602</c:v>
                </c:pt>
                <c:pt idx="11">
                  <c:v>0.26532613982689102</c:v>
                </c:pt>
                <c:pt idx="12">
                  <c:v>0.26523910225678299</c:v>
                </c:pt>
                <c:pt idx="13">
                  <c:v>0.26509551199465398</c:v>
                </c:pt>
                <c:pt idx="14">
                  <c:v>0.265044223541609</c:v>
                </c:pt>
                <c:pt idx="15">
                  <c:v>0.26487253510044101</c:v>
                </c:pt>
                <c:pt idx="16">
                  <c:v>0.26479230872120701</c:v>
                </c:pt>
                <c:pt idx="17">
                  <c:v>0.26467610208181602</c:v>
                </c:pt>
                <c:pt idx="18">
                  <c:v>0.264562176042904</c:v>
                </c:pt>
                <c:pt idx="19">
                  <c:v>0.26441710831902199</c:v>
                </c:pt>
                <c:pt idx="20">
                  <c:v>0.264316925572323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14-4A76-8F9F-C57B00A2C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597617"/>
        <c:axId val="1597968241"/>
      </c:scatterChart>
      <c:valAx>
        <c:axId val="93597617"/>
        <c:scaling>
          <c:orientation val="minMax"/>
          <c:max val="11.1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97968241"/>
        <c:crosses val="autoZero"/>
        <c:crossBetween val="midCat"/>
        <c:majorUnit val="0.1"/>
      </c:valAx>
      <c:valAx>
        <c:axId val="15979682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3597617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495300</xdr:colOff>
      <xdr:row>0</xdr:row>
      <xdr:rowOff>171450</xdr:rowOff>
    </xdr:from>
    <xdr:ext cx="5010150" cy="31146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504825</xdr:colOff>
      <xdr:row>20</xdr:row>
      <xdr:rowOff>47625</xdr:rowOff>
    </xdr:from>
    <xdr:ext cx="5000625" cy="320992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"/>
  <sheetViews>
    <sheetView tabSelected="1" workbookViewId="0">
      <selection activeCell="B1" sqref="B1"/>
    </sheetView>
  </sheetViews>
  <sheetFormatPr defaultColWidth="14.44140625" defaultRowHeight="15" customHeight="1"/>
  <cols>
    <col min="1" max="3" width="8.6640625" customWidth="1"/>
    <col min="4" max="4" width="20.6640625" customWidth="1"/>
    <col min="5" max="7" width="8.6640625" customWidth="1"/>
    <col min="8" max="8" width="17.33203125" customWidth="1"/>
    <col min="9" max="19" width="8.6640625" customWidth="1"/>
  </cols>
  <sheetData>
    <row r="1" spans="1:9" ht="14.25" customHeight="1">
      <c r="A1" t="s">
        <v>0</v>
      </c>
      <c r="B1" t="s">
        <v>5</v>
      </c>
      <c r="D1" t="s">
        <v>4</v>
      </c>
      <c r="F1" t="s">
        <v>1</v>
      </c>
      <c r="H1" t="s">
        <v>3</v>
      </c>
      <c r="I1" t="s">
        <v>2</v>
      </c>
    </row>
    <row r="2" spans="1:9" ht="14.25" customHeight="1">
      <c r="A2">
        <v>11</v>
      </c>
      <c r="B2" s="1">
        <v>3.2776325029999997E-8</v>
      </c>
      <c r="C2" s="1">
        <v>8.3747339350000001E-13</v>
      </c>
      <c r="D2" s="1">
        <f t="shared" ref="D2:D22" si="0">(B2-C2)/C2</f>
        <v>39136.153830069707</v>
      </c>
      <c r="E2" s="1"/>
      <c r="F2">
        <v>0.26630797616544499</v>
      </c>
      <c r="G2">
        <v>0.270993644252016</v>
      </c>
      <c r="H2">
        <f t="shared" ref="H2:H22" si="1">(G2-F2)/G2</f>
        <v>1.7290693660008766E-2</v>
      </c>
    </row>
    <row r="3" spans="1:9" ht="14.25" customHeight="1">
      <c r="A3">
        <v>10.9</v>
      </c>
      <c r="B3" s="1">
        <v>3.6391819879999997E-8</v>
      </c>
      <c r="C3" s="1">
        <v>8.3747339350000001E-13</v>
      </c>
      <c r="D3" s="1">
        <f t="shared" si="0"/>
        <v>43453.299757404769</v>
      </c>
      <c r="E3" s="1"/>
      <c r="F3">
        <v>0.26619332591267297</v>
      </c>
      <c r="G3">
        <v>0.270993644252016</v>
      </c>
      <c r="H3">
        <f t="shared" si="1"/>
        <v>1.7713767245695514E-2</v>
      </c>
    </row>
    <row r="4" spans="1:9" ht="14.25" customHeight="1">
      <c r="A4">
        <v>10.8</v>
      </c>
      <c r="B4" s="1">
        <v>4.0030354330000002E-8</v>
      </c>
      <c r="C4" s="1">
        <v>8.3747339350000001E-13</v>
      </c>
      <c r="D4" s="1">
        <f t="shared" si="0"/>
        <v>47797.956528879869</v>
      </c>
      <c r="E4" s="1"/>
      <c r="F4">
        <v>0.26615569223494001</v>
      </c>
      <c r="G4">
        <v>0.270993644252016</v>
      </c>
      <c r="H4">
        <f t="shared" si="1"/>
        <v>1.7852640162205557E-2</v>
      </c>
    </row>
    <row r="5" spans="1:9" ht="14.25" customHeight="1">
      <c r="A5">
        <v>10.7</v>
      </c>
      <c r="B5" s="1">
        <v>4.4407887880000002E-8</v>
      </c>
      <c r="C5" s="1">
        <v>8.3747339350000001E-13</v>
      </c>
      <c r="D5" s="1">
        <f t="shared" si="0"/>
        <v>53025.028318832796</v>
      </c>
      <c r="E5" s="1"/>
      <c r="F5">
        <v>0.26607482004647398</v>
      </c>
      <c r="G5">
        <v>0.270993644252016</v>
      </c>
      <c r="H5">
        <f t="shared" si="1"/>
        <v>1.8151068520882566E-2</v>
      </c>
    </row>
    <row r="6" spans="1:9" ht="14.25" customHeight="1">
      <c r="A6">
        <v>10.6</v>
      </c>
      <c r="B6" s="1">
        <v>4.9409064300000002E-8</v>
      </c>
      <c r="C6" s="1">
        <v>8.3747339350000001E-13</v>
      </c>
      <c r="D6" s="1">
        <f t="shared" si="0"/>
        <v>58996.771969217793</v>
      </c>
      <c r="E6" s="1"/>
      <c r="F6">
        <v>0.26596602261080099</v>
      </c>
      <c r="G6">
        <v>0.270993644252016</v>
      </c>
      <c r="H6">
        <f t="shared" si="1"/>
        <v>1.8552544488975063E-2</v>
      </c>
    </row>
    <row r="7" spans="1:9" ht="14.25" customHeight="1">
      <c r="A7">
        <v>10.5</v>
      </c>
      <c r="B7" s="1">
        <v>5.4930585859999997E-8</v>
      </c>
      <c r="C7" s="1">
        <v>8.3747339350000001E-13</v>
      </c>
      <c r="D7" s="1">
        <f t="shared" si="0"/>
        <v>65589.84298837489</v>
      </c>
      <c r="E7" s="1"/>
      <c r="F7">
        <v>0.26584480491950402</v>
      </c>
      <c r="G7">
        <v>0.270993644252016</v>
      </c>
      <c r="H7">
        <f t="shared" si="1"/>
        <v>1.8999852733533898E-2</v>
      </c>
    </row>
    <row r="8" spans="1:9" ht="14.25" customHeight="1">
      <c r="A8">
        <v>10.4</v>
      </c>
      <c r="B8" s="1">
        <v>6.0493483399999996E-8</v>
      </c>
      <c r="C8" s="1">
        <v>8.3747339350000001E-13</v>
      </c>
      <c r="D8" s="1">
        <f t="shared" si="0"/>
        <v>72232.319732324133</v>
      </c>
      <c r="E8" s="1"/>
      <c r="F8">
        <v>0.26580195432380299</v>
      </c>
      <c r="G8">
        <v>0.270993644252016</v>
      </c>
      <c r="H8">
        <f t="shared" si="1"/>
        <v>1.9157976721346604E-2</v>
      </c>
    </row>
    <row r="9" spans="1:9" ht="14.25" customHeight="1">
      <c r="A9">
        <v>10.3</v>
      </c>
      <c r="B9" s="1">
        <v>6.6442251880000003E-8</v>
      </c>
      <c r="C9" s="1">
        <v>8.3747339350000001E-13</v>
      </c>
      <c r="D9" s="1">
        <f t="shared" si="0"/>
        <v>79335.552534907489</v>
      </c>
      <c r="E9" s="1"/>
      <c r="F9">
        <v>0.26573505205912301</v>
      </c>
      <c r="G9">
        <v>0.270993644252016</v>
      </c>
      <c r="H9">
        <f t="shared" si="1"/>
        <v>1.940485433674102E-2</v>
      </c>
    </row>
    <row r="10" spans="1:9" ht="14.25" customHeight="1">
      <c r="A10">
        <v>10.199999999999999</v>
      </c>
      <c r="B10" s="1">
        <v>7.4859343540000003E-8</v>
      </c>
      <c r="C10" s="1">
        <v>8.3747339350000001E-13</v>
      </c>
      <c r="D10" s="1">
        <f t="shared" si="0"/>
        <v>89386.130529777249</v>
      </c>
      <c r="E10" s="1"/>
      <c r="F10">
        <v>0.26561551629206798</v>
      </c>
      <c r="G10">
        <v>0.270993644252016</v>
      </c>
      <c r="H10">
        <f t="shared" si="1"/>
        <v>1.9845956073222596E-2</v>
      </c>
    </row>
    <row r="11" spans="1:9" ht="14.25" customHeight="1">
      <c r="A11">
        <v>10.1</v>
      </c>
      <c r="B11" s="1">
        <v>8.3343128260000001E-8</v>
      </c>
      <c r="C11" s="1">
        <v>8.3747339350000001E-13</v>
      </c>
      <c r="D11" s="1">
        <f t="shared" si="0"/>
        <v>99516.344559078221</v>
      </c>
      <c r="E11" s="1"/>
      <c r="F11">
        <v>0.26548078661087599</v>
      </c>
      <c r="G11">
        <v>0.270993644252016</v>
      </c>
      <c r="H11">
        <f t="shared" si="1"/>
        <v>2.0343125228476647E-2</v>
      </c>
    </row>
    <row r="12" spans="1:9" ht="14.25" customHeight="1">
      <c r="A12">
        <v>10</v>
      </c>
      <c r="B12" s="1">
        <v>9.2890383779999997E-8</v>
      </c>
      <c r="C12" s="1">
        <v>8.3747339350000001E-13</v>
      </c>
      <c r="D12" s="1">
        <f t="shared" si="0"/>
        <v>110916.41481098169</v>
      </c>
      <c r="E12" s="1"/>
      <c r="F12">
        <v>0.26539585235319602</v>
      </c>
      <c r="G12">
        <v>0.270993644252016</v>
      </c>
      <c r="H12">
        <f t="shared" si="1"/>
        <v>2.0656543123993721E-2</v>
      </c>
    </row>
    <row r="13" spans="1:9" ht="14.25" customHeight="1">
      <c r="A13">
        <v>9.9</v>
      </c>
      <c r="B13" s="1">
        <v>1.0216143859999999E-7</v>
      </c>
      <c r="C13" s="1">
        <v>8.3747339350000001E-13</v>
      </c>
      <c r="D13" s="1">
        <f t="shared" si="0"/>
        <v>121986.6827048118</v>
      </c>
      <c r="E13" s="1"/>
      <c r="F13">
        <v>0.26532613982689102</v>
      </c>
      <c r="G13">
        <v>0.270993644252016</v>
      </c>
      <c r="H13">
        <f t="shared" si="1"/>
        <v>2.0913790951696161E-2</v>
      </c>
    </row>
    <row r="14" spans="1:9" ht="14.25" customHeight="1">
      <c r="A14">
        <v>9.8000000000000007</v>
      </c>
      <c r="B14" s="1">
        <v>1.127352069E-7</v>
      </c>
      <c r="C14" s="1">
        <v>8.3747339350000001E-13</v>
      </c>
      <c r="D14" s="1">
        <f t="shared" si="0"/>
        <v>134612.47879823719</v>
      </c>
      <c r="E14" s="1"/>
      <c r="F14">
        <v>0.26523910225678299</v>
      </c>
      <c r="G14">
        <v>0.270993644252016</v>
      </c>
      <c r="H14">
        <f t="shared" si="1"/>
        <v>2.1234970329715396E-2</v>
      </c>
    </row>
    <row r="15" spans="1:9" ht="14.25" customHeight="1">
      <c r="A15">
        <v>9.6999999999999993</v>
      </c>
      <c r="B15" s="1">
        <v>1.2710106289999999E-7</v>
      </c>
      <c r="C15" s="1">
        <v>8.3747339350000001E-13</v>
      </c>
      <c r="D15" s="1">
        <f t="shared" si="0"/>
        <v>151766.28465224965</v>
      </c>
      <c r="E15" s="1"/>
      <c r="F15">
        <v>0.26509551199465398</v>
      </c>
      <c r="G15">
        <v>0.270993644252016</v>
      </c>
      <c r="H15">
        <f t="shared" si="1"/>
        <v>2.1764836122418186E-2</v>
      </c>
    </row>
    <row r="16" spans="1:9" ht="14.25" customHeight="1">
      <c r="A16">
        <v>9.6</v>
      </c>
      <c r="B16" s="1">
        <v>1.338827435E-7</v>
      </c>
      <c r="C16" s="1">
        <v>8.3747339350000001E-13</v>
      </c>
      <c r="D16" s="1">
        <f t="shared" si="0"/>
        <v>159864.07098508795</v>
      </c>
      <c r="E16" s="1"/>
      <c r="F16">
        <v>0.265044223541609</v>
      </c>
      <c r="G16">
        <v>0.270993644252016</v>
      </c>
      <c r="H16">
        <f t="shared" si="1"/>
        <v>2.1954096845438229E-2</v>
      </c>
    </row>
    <row r="17" spans="1:8" ht="14.25" customHeight="1">
      <c r="A17">
        <v>9.5000000000000107</v>
      </c>
      <c r="B17" s="1">
        <v>1.5615540800000001E-7</v>
      </c>
      <c r="C17" s="1">
        <v>8.3747339350000001E-13</v>
      </c>
      <c r="D17" s="1">
        <f t="shared" si="0"/>
        <v>186459.14215136974</v>
      </c>
      <c r="E17" s="1"/>
      <c r="F17">
        <v>0.26487253510044101</v>
      </c>
      <c r="G17">
        <v>0.270993644252016</v>
      </c>
      <c r="H17">
        <f t="shared" si="1"/>
        <v>2.2587648387364167E-2</v>
      </c>
    </row>
    <row r="18" spans="1:8" ht="14.25" customHeight="1">
      <c r="A18">
        <v>9.4000000000000092</v>
      </c>
      <c r="B18" s="1">
        <v>1.724785849E-7</v>
      </c>
      <c r="C18" s="1">
        <v>8.3747339350000001E-13</v>
      </c>
      <c r="D18" s="1">
        <f t="shared" si="0"/>
        <v>205950.12183704256</v>
      </c>
      <c r="E18" s="1"/>
      <c r="F18">
        <v>0.26479230872120701</v>
      </c>
      <c r="G18">
        <v>0.270993644252016</v>
      </c>
      <c r="H18">
        <f t="shared" si="1"/>
        <v>2.288369363025328E-2</v>
      </c>
    </row>
    <row r="19" spans="1:8" ht="14.25" customHeight="1">
      <c r="A19">
        <v>9.3000000000000096</v>
      </c>
      <c r="B19" s="1">
        <v>1.948329813E-7</v>
      </c>
      <c r="C19" s="1">
        <v>8.3747339350000001E-13</v>
      </c>
      <c r="D19" s="1">
        <f t="shared" si="0"/>
        <v>232642.78643212383</v>
      </c>
      <c r="E19" s="1"/>
      <c r="F19">
        <v>0.26467610208181602</v>
      </c>
      <c r="G19">
        <v>0.270993644252016</v>
      </c>
      <c r="H19">
        <f t="shared" si="1"/>
        <v>2.3312510474691611E-2</v>
      </c>
    </row>
    <row r="20" spans="1:8" ht="14.25" customHeight="1">
      <c r="A20">
        <v>9.2000000000000099</v>
      </c>
      <c r="B20" s="1">
        <v>2.1538774619999999E-7</v>
      </c>
      <c r="C20" s="1">
        <v>8.3747339350000001E-13</v>
      </c>
      <c r="D20" s="1">
        <f t="shared" si="0"/>
        <v>257186.56902812578</v>
      </c>
      <c r="E20" s="1"/>
      <c r="F20">
        <v>0.264562176042904</v>
      </c>
      <c r="G20">
        <v>0.270993644252016</v>
      </c>
      <c r="H20">
        <f t="shared" si="1"/>
        <v>2.3732911621834673E-2</v>
      </c>
    </row>
    <row r="21" spans="1:8" ht="14.25" customHeight="1">
      <c r="A21">
        <v>9.1000000000000103</v>
      </c>
      <c r="B21" s="1">
        <v>2.4056815010000002E-7</v>
      </c>
      <c r="C21" s="1">
        <v>8.3747339350000001E-13</v>
      </c>
      <c r="D21" s="1">
        <f t="shared" si="0"/>
        <v>287253.67813921662</v>
      </c>
      <c r="E21" s="1"/>
      <c r="F21">
        <v>0.26441710831902199</v>
      </c>
      <c r="G21">
        <v>0.270993644252016</v>
      </c>
      <c r="H21">
        <f t="shared" si="1"/>
        <v>2.4268229430790739E-2</v>
      </c>
    </row>
    <row r="22" spans="1:8" ht="14.25" customHeight="1">
      <c r="A22">
        <v>9.0000000000000107</v>
      </c>
      <c r="B22" s="1">
        <v>2.6521420340000001E-7</v>
      </c>
      <c r="C22" s="1">
        <v>8.3747339350000001E-13</v>
      </c>
      <c r="D22" s="1">
        <f t="shared" si="0"/>
        <v>316682.73641293478</v>
      </c>
      <c r="E22" s="1"/>
      <c r="F22">
        <v>0.264316925572323</v>
      </c>
      <c r="G22">
        <v>0.270993644252016</v>
      </c>
      <c r="H22">
        <f t="shared" si="1"/>
        <v>2.4637916133132057E-2</v>
      </c>
    </row>
    <row r="23" spans="1:8" ht="14.25" customHeight="1"/>
    <row r="24" spans="1:8" ht="14.25" customHeight="1"/>
    <row r="25" spans="1:8" ht="14.25" customHeight="1"/>
    <row r="26" spans="1:8" ht="14.25" customHeight="1"/>
    <row r="27" spans="1:8" ht="14.25" customHeight="1"/>
    <row r="28" spans="1:8" ht="14.25" customHeight="1"/>
    <row r="29" spans="1:8" ht="14.25" customHeight="1"/>
    <row r="30" spans="1:8" ht="14.25" customHeight="1"/>
    <row r="31" spans="1:8" ht="14.25" customHeight="1"/>
    <row r="32" spans="1:8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Joydeep De</dc:creator>
  <cp:lastModifiedBy>Jash Saha</cp:lastModifiedBy>
  <dcterms:created xsi:type="dcterms:W3CDTF">2025-03-14T03:33:31Z</dcterms:created>
  <dcterms:modified xsi:type="dcterms:W3CDTF">2026-04-21T08:15:42Z</dcterms:modified>
</cp:coreProperties>
</file>