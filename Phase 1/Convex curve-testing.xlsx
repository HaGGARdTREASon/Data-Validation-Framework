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Jash\Downloads\PROJECTS\ece 2\"/>
    </mc:Choice>
  </mc:AlternateContent>
  <xr:revisionPtr revIDLastSave="0" documentId="13_ncr:1_{6E4E637D-E78D-4E02-B583-830BD24E3DBA}" xr6:coauthVersionLast="47" xr6:coauthVersionMax="47" xr10:uidLastSave="{00000000-0000-0000-0000-000000000000}"/>
  <bookViews>
    <workbookView xWindow="1836" yWindow="7188" windowWidth="17280" windowHeight="8964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2" i="1" l="1"/>
  <c r="D22" i="1"/>
  <c r="H21" i="1"/>
  <c r="D21" i="1"/>
  <c r="H20" i="1"/>
  <c r="D20" i="1"/>
  <c r="H19" i="1"/>
  <c r="D19" i="1"/>
  <c r="H18" i="1"/>
  <c r="D18" i="1"/>
  <c r="H17" i="1"/>
  <c r="D17" i="1"/>
  <c r="H16" i="1"/>
  <c r="D16" i="1"/>
  <c r="H15" i="1"/>
  <c r="D15" i="1"/>
  <c r="H14" i="1"/>
  <c r="D14" i="1"/>
  <c r="H13" i="1"/>
  <c r="D13" i="1"/>
  <c r="H12" i="1"/>
  <c r="D12" i="1"/>
  <c r="H11" i="1"/>
  <c r="D11" i="1"/>
  <c r="H10" i="1"/>
  <c r="D10" i="1"/>
  <c r="H9" i="1"/>
  <c r="D9" i="1"/>
  <c r="H8" i="1"/>
  <c r="D8" i="1"/>
  <c r="H7" i="1"/>
  <c r="D7" i="1"/>
  <c r="H6" i="1"/>
  <c r="D6" i="1"/>
  <c r="H5" i="1"/>
  <c r="D5" i="1"/>
  <c r="H4" i="1"/>
  <c r="D4" i="1"/>
  <c r="H3" i="1"/>
  <c r="D3" i="1"/>
  <c r="H2" i="1"/>
  <c r="D2" i="1"/>
</calcChain>
</file>

<file path=xl/sharedStrings.xml><?xml version="1.0" encoding="utf-8"?>
<sst xmlns="http://schemas.openxmlformats.org/spreadsheetml/2006/main" count="6" uniqueCount="6">
  <si>
    <t>Width</t>
  </si>
  <si>
    <t>Convex</t>
  </si>
  <si>
    <t>id sensitivity</t>
  </si>
  <si>
    <t>Vth</t>
  </si>
  <si>
    <t>Vth sensitivity</t>
  </si>
  <si>
    <t>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</si>
</sst>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Id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xVal>
            <c:numRef>
              <c:f>Sheet1!$A$2:$A$22</c:f>
              <c:numCache>
                <c:formatCode>General</c:formatCode>
                <c:ptCount val="21"/>
                <c:pt idx="0">
                  <c:v>11</c:v>
                </c:pt>
                <c:pt idx="1">
                  <c:v>10.9</c:v>
                </c:pt>
                <c:pt idx="2">
                  <c:v>10.8</c:v>
                </c:pt>
                <c:pt idx="3">
                  <c:v>10.7</c:v>
                </c:pt>
                <c:pt idx="4">
                  <c:v>10.6</c:v>
                </c:pt>
                <c:pt idx="5">
                  <c:v>10.5</c:v>
                </c:pt>
                <c:pt idx="6">
                  <c:v>10.4</c:v>
                </c:pt>
                <c:pt idx="7">
                  <c:v>10.3</c:v>
                </c:pt>
                <c:pt idx="8">
                  <c:v>10.199999999999999</c:v>
                </c:pt>
                <c:pt idx="9">
                  <c:v>10.1</c:v>
                </c:pt>
                <c:pt idx="10">
                  <c:v>10</c:v>
                </c:pt>
                <c:pt idx="11">
                  <c:v>9.9</c:v>
                </c:pt>
                <c:pt idx="12">
                  <c:v>9.8000000000000007</c:v>
                </c:pt>
                <c:pt idx="13">
                  <c:v>9.6999999999999993</c:v>
                </c:pt>
                <c:pt idx="14">
                  <c:v>9.6</c:v>
                </c:pt>
                <c:pt idx="15">
                  <c:v>9.5000000000000107</c:v>
                </c:pt>
                <c:pt idx="16">
                  <c:v>9.4000000000000092</c:v>
                </c:pt>
                <c:pt idx="17">
                  <c:v>9.3000000000000096</c:v>
                </c:pt>
                <c:pt idx="18">
                  <c:v>9.2000000000000099</c:v>
                </c:pt>
                <c:pt idx="19">
                  <c:v>9.1000000000000103</c:v>
                </c:pt>
                <c:pt idx="20">
                  <c:v>9.0000000000000107</c:v>
                </c:pt>
              </c:numCache>
            </c:numRef>
          </c:xVal>
          <c:yVal>
            <c:numRef>
              <c:f>Sheet1!$B$2:$B$22</c:f>
              <c:numCache>
                <c:formatCode>0.00E+00</c:formatCode>
                <c:ptCount val="21"/>
                <c:pt idx="0">
                  <c:v>5.6625815340000002E-8</c:v>
                </c:pt>
                <c:pt idx="1">
                  <c:v>6.261358222E-8</c:v>
                </c:pt>
                <c:pt idx="2">
                  <c:v>6.9301388320000006E-8</c:v>
                </c:pt>
                <c:pt idx="3">
                  <c:v>7.6642630670000005E-8</c:v>
                </c:pt>
                <c:pt idx="4">
                  <c:v>8.4729358880000004E-8</c:v>
                </c:pt>
                <c:pt idx="5">
                  <c:v>9.3768639980000005E-8</c:v>
                </c:pt>
                <c:pt idx="6">
                  <c:v>1.0388005090000001E-7</c:v>
                </c:pt>
                <c:pt idx="7">
                  <c:v>1.137923523E-7</c:v>
                </c:pt>
                <c:pt idx="8">
                  <c:v>1.2733532870000001E-7</c:v>
                </c:pt>
                <c:pt idx="9">
                  <c:v>1.410706539E-7</c:v>
                </c:pt>
                <c:pt idx="10">
                  <c:v>1.5644598050000001E-7</c:v>
                </c:pt>
                <c:pt idx="11">
                  <c:v>1.7343609069999999E-7</c:v>
                </c:pt>
                <c:pt idx="12">
                  <c:v>1.9008761159999999E-7</c:v>
                </c:pt>
                <c:pt idx="13">
                  <c:v>2.131748476E-7</c:v>
                </c:pt>
                <c:pt idx="14">
                  <c:v>2.3626208360000001E-7</c:v>
                </c:pt>
                <c:pt idx="15">
                  <c:v>2.6251310990000002E-7</c:v>
                </c:pt>
                <c:pt idx="16">
                  <c:v>2.8805554939999998E-7</c:v>
                </c:pt>
                <c:pt idx="17">
                  <c:v>3.2345170780000001E-7</c:v>
                </c:pt>
                <c:pt idx="18">
                  <c:v>3.553416239E-7</c:v>
                </c:pt>
                <c:pt idx="19">
                  <c:v>3.9443779720000002E-7</c:v>
                </c:pt>
                <c:pt idx="20">
                  <c:v>4.382632837E-7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04E-4062-817F-18BFA1EB6A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5218783"/>
        <c:axId val="1288203230"/>
      </c:scatterChart>
      <c:valAx>
        <c:axId val="1695218783"/>
        <c:scaling>
          <c:orientation val="minMax"/>
          <c:max val="11.1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88203230"/>
        <c:crosses val="autoZero"/>
        <c:crossBetween val="midCat"/>
      </c:valAx>
      <c:valAx>
        <c:axId val="128820323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0.00E+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95218783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Vt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xVal>
            <c:numRef>
              <c:f>Sheet1!$A$2:$A$22</c:f>
              <c:numCache>
                <c:formatCode>General</c:formatCode>
                <c:ptCount val="21"/>
                <c:pt idx="0">
                  <c:v>11</c:v>
                </c:pt>
                <c:pt idx="1">
                  <c:v>10.9</c:v>
                </c:pt>
                <c:pt idx="2">
                  <c:v>10.8</c:v>
                </c:pt>
                <c:pt idx="3">
                  <c:v>10.7</c:v>
                </c:pt>
                <c:pt idx="4">
                  <c:v>10.6</c:v>
                </c:pt>
                <c:pt idx="5">
                  <c:v>10.5</c:v>
                </c:pt>
                <c:pt idx="6">
                  <c:v>10.4</c:v>
                </c:pt>
                <c:pt idx="7">
                  <c:v>10.3</c:v>
                </c:pt>
                <c:pt idx="8">
                  <c:v>10.199999999999999</c:v>
                </c:pt>
                <c:pt idx="9">
                  <c:v>10.1</c:v>
                </c:pt>
                <c:pt idx="10">
                  <c:v>10</c:v>
                </c:pt>
                <c:pt idx="11">
                  <c:v>9.9</c:v>
                </c:pt>
                <c:pt idx="12">
                  <c:v>9.8000000000000007</c:v>
                </c:pt>
                <c:pt idx="13">
                  <c:v>9.6999999999999993</c:v>
                </c:pt>
                <c:pt idx="14">
                  <c:v>9.6</c:v>
                </c:pt>
                <c:pt idx="15">
                  <c:v>9.5000000000000107</c:v>
                </c:pt>
                <c:pt idx="16">
                  <c:v>9.4000000000000092</c:v>
                </c:pt>
                <c:pt idx="17">
                  <c:v>9.3000000000000096</c:v>
                </c:pt>
                <c:pt idx="18">
                  <c:v>9.2000000000000099</c:v>
                </c:pt>
                <c:pt idx="19">
                  <c:v>9.1000000000000103</c:v>
                </c:pt>
                <c:pt idx="20">
                  <c:v>9.0000000000000107</c:v>
                </c:pt>
              </c:numCache>
            </c:numRef>
          </c:xVal>
          <c:yVal>
            <c:numRef>
              <c:f>Sheet1!$F$2:$F$22</c:f>
              <c:numCache>
                <c:formatCode>General</c:formatCode>
                <c:ptCount val="21"/>
                <c:pt idx="0">
                  <c:v>0.26587417957488502</c:v>
                </c:pt>
                <c:pt idx="1">
                  <c:v>0.265811100938874</c:v>
                </c:pt>
                <c:pt idx="2">
                  <c:v>0.26573073548508302</c:v>
                </c:pt>
                <c:pt idx="3">
                  <c:v>0.26560336779635402</c:v>
                </c:pt>
                <c:pt idx="4">
                  <c:v>0.26549724208447201</c:v>
                </c:pt>
                <c:pt idx="5">
                  <c:v>0.26543565739577202</c:v>
                </c:pt>
                <c:pt idx="6">
                  <c:v>0.2653545150935</c:v>
                </c:pt>
                <c:pt idx="7">
                  <c:v>0.26522926618841203</c:v>
                </c:pt>
                <c:pt idx="8">
                  <c:v>0.26509316309584702</c:v>
                </c:pt>
                <c:pt idx="9">
                  <c:v>0.26503005256055201</c:v>
                </c:pt>
                <c:pt idx="10">
                  <c:v>0.26494495473694801</c:v>
                </c:pt>
                <c:pt idx="11">
                  <c:v>0.26479751877723501</c:v>
                </c:pt>
                <c:pt idx="12">
                  <c:v>0.26469876476159299</c:v>
                </c:pt>
                <c:pt idx="13">
                  <c:v>0.26459649450422201</c:v>
                </c:pt>
                <c:pt idx="14">
                  <c:v>0.26449207586741103</c:v>
                </c:pt>
                <c:pt idx="15">
                  <c:v>0.26431391446333802</c:v>
                </c:pt>
                <c:pt idx="16">
                  <c:v>0.26422925018361698</c:v>
                </c:pt>
                <c:pt idx="17">
                  <c:v>0.26410185433581002</c:v>
                </c:pt>
                <c:pt idx="18">
                  <c:v>0.26396505851471103</c:v>
                </c:pt>
                <c:pt idx="19">
                  <c:v>0.26381887829290401</c:v>
                </c:pt>
                <c:pt idx="20">
                  <c:v>0.26371653962881397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0FB-4AC5-8416-15C5157D42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3619526"/>
        <c:axId val="166142130"/>
      </c:scatterChart>
      <c:valAx>
        <c:axId val="243619526"/>
        <c:scaling>
          <c:orientation val="minMax"/>
          <c:max val="11.1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6142130"/>
        <c:crosses val="autoZero"/>
        <c:crossBetween val="midCat"/>
      </c:valAx>
      <c:valAx>
        <c:axId val="16614213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43619526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533400</xdr:colOff>
      <xdr:row>1</xdr:row>
      <xdr:rowOff>38100</xdr:rowOff>
    </xdr:from>
    <xdr:ext cx="4343400" cy="27146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11</xdr:col>
      <xdr:colOff>495300</xdr:colOff>
      <xdr:row>17</xdr:row>
      <xdr:rowOff>66675</xdr:rowOff>
    </xdr:from>
    <xdr:ext cx="4343400" cy="2714625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"/>
  <sheetViews>
    <sheetView tabSelected="1" workbookViewId="0">
      <selection activeCell="I3" sqref="I3"/>
    </sheetView>
  </sheetViews>
  <sheetFormatPr defaultColWidth="14.44140625" defaultRowHeight="15" customHeight="1"/>
  <cols>
    <col min="1" max="7" width="8.6640625" customWidth="1"/>
    <col min="8" max="8" width="15.109375" customWidth="1"/>
    <col min="9" max="20" width="8.6640625" customWidth="1"/>
  </cols>
  <sheetData>
    <row r="1" spans="1:9" ht="14.25" customHeight="1">
      <c r="A1" t="s">
        <v>0</v>
      </c>
      <c r="B1" t="s">
        <v>5</v>
      </c>
      <c r="D1" t="s">
        <v>2</v>
      </c>
      <c r="F1" t="s">
        <v>3</v>
      </c>
      <c r="H1" t="s">
        <v>4</v>
      </c>
      <c r="I1" t="s">
        <v>1</v>
      </c>
    </row>
    <row r="2" spans="1:9" ht="14.25" customHeight="1">
      <c r="A2">
        <v>11</v>
      </c>
      <c r="B2" s="1">
        <v>5.6625815340000002E-8</v>
      </c>
      <c r="C2" s="1">
        <v>8.3747339350000001E-13</v>
      </c>
      <c r="D2" s="1">
        <f t="shared" ref="D2:D22" si="0">(B2-C2)/C2</f>
        <v>67614.061898679895</v>
      </c>
      <c r="E2" s="1"/>
      <c r="F2">
        <v>0.26587417957488502</v>
      </c>
      <c r="G2" s="1">
        <v>0.270993644252016</v>
      </c>
      <c r="H2" s="1">
        <f t="shared" ref="H2:H22" si="1">(G2-F2)/G2</f>
        <v>1.8891456629034558E-2</v>
      </c>
    </row>
    <row r="3" spans="1:9" ht="14.25" customHeight="1">
      <c r="A3">
        <v>10.9</v>
      </c>
      <c r="B3" s="1">
        <v>6.261358222E-8</v>
      </c>
      <c r="C3" s="1">
        <v>8.3747339350000001E-13</v>
      </c>
      <c r="D3" s="1">
        <f t="shared" si="0"/>
        <v>74763.861434371051</v>
      </c>
      <c r="E3" s="1"/>
      <c r="F3">
        <v>0.265811100938874</v>
      </c>
      <c r="G3" s="1">
        <v>0.270993644252016</v>
      </c>
      <c r="H3" s="1">
        <f t="shared" si="1"/>
        <v>1.9124224582634068E-2</v>
      </c>
    </row>
    <row r="4" spans="1:9" ht="14.25" customHeight="1">
      <c r="A4">
        <v>10.8</v>
      </c>
      <c r="B4" s="1">
        <v>6.9301388320000006E-8</v>
      </c>
      <c r="C4" s="1">
        <v>8.3747339350000001E-13</v>
      </c>
      <c r="D4" s="1">
        <f t="shared" si="0"/>
        <v>82749.555250923338</v>
      </c>
      <c r="E4" s="1"/>
      <c r="F4">
        <v>0.26573073548508302</v>
      </c>
      <c r="G4" s="1">
        <v>0.270993644252016</v>
      </c>
      <c r="H4" s="1">
        <f t="shared" si="1"/>
        <v>1.9420783027806452E-2</v>
      </c>
    </row>
    <row r="5" spans="1:9" ht="14.25" customHeight="1">
      <c r="A5">
        <v>10.7</v>
      </c>
      <c r="B5" s="1">
        <v>7.6642630670000005E-8</v>
      </c>
      <c r="C5" s="1">
        <v>8.3747339350000001E-13</v>
      </c>
      <c r="D5" s="1">
        <f t="shared" si="0"/>
        <v>91515.496243172893</v>
      </c>
      <c r="E5" s="1"/>
      <c r="F5">
        <v>0.26560336779635402</v>
      </c>
      <c r="G5" s="1">
        <v>0.270993644252016</v>
      </c>
      <c r="H5" s="1">
        <f t="shared" si="1"/>
        <v>1.989078552207366E-2</v>
      </c>
    </row>
    <row r="6" spans="1:9" ht="14.25" customHeight="1">
      <c r="A6">
        <v>10.6</v>
      </c>
      <c r="B6" s="1">
        <v>8.4729358880000004E-8</v>
      </c>
      <c r="C6" s="1">
        <v>8.3747339350000001E-13</v>
      </c>
      <c r="D6" s="1">
        <f t="shared" si="0"/>
        <v>101171.59788504553</v>
      </c>
      <c r="E6" s="1"/>
      <c r="F6">
        <v>0.26549724208447201</v>
      </c>
      <c r="G6" s="1">
        <v>0.270993644252016</v>
      </c>
      <c r="H6" s="1">
        <f t="shared" si="1"/>
        <v>2.0282402499567483E-2</v>
      </c>
    </row>
    <row r="7" spans="1:9" ht="14.25" customHeight="1">
      <c r="A7">
        <v>10.5</v>
      </c>
      <c r="B7" s="1">
        <v>9.3768639980000005E-8</v>
      </c>
      <c r="C7" s="1">
        <v>8.3747339350000001E-13</v>
      </c>
      <c r="D7" s="1">
        <f t="shared" si="0"/>
        <v>111965.11224640656</v>
      </c>
      <c r="E7" s="1"/>
      <c r="F7">
        <v>0.26543565739577202</v>
      </c>
      <c r="G7" s="1">
        <v>0.270993644252016</v>
      </c>
      <c r="H7" s="1">
        <f t="shared" si="1"/>
        <v>2.0509657603169532E-2</v>
      </c>
    </row>
    <row r="8" spans="1:9" ht="14.25" customHeight="1">
      <c r="A8">
        <v>10.4</v>
      </c>
      <c r="B8" s="1">
        <v>1.0388005090000001E-7</v>
      </c>
      <c r="C8" s="1">
        <v>8.3747339350000001E-13</v>
      </c>
      <c r="D8" s="1">
        <f t="shared" si="0"/>
        <v>124038.82228720201</v>
      </c>
      <c r="E8" s="1"/>
      <c r="F8">
        <v>0.2653545150935</v>
      </c>
      <c r="G8" s="1">
        <v>0.270993644252016</v>
      </c>
      <c r="H8" s="1">
        <f t="shared" si="1"/>
        <v>2.0809082715134739E-2</v>
      </c>
    </row>
    <row r="9" spans="1:9" ht="14.25" customHeight="1">
      <c r="A9">
        <v>10.3</v>
      </c>
      <c r="B9" s="1">
        <v>1.137923523E-7</v>
      </c>
      <c r="C9" s="1">
        <v>8.3747339350000001E-13</v>
      </c>
      <c r="D9" s="1">
        <f t="shared" si="0"/>
        <v>135874.78206447224</v>
      </c>
      <c r="E9" s="1"/>
      <c r="F9">
        <v>0.26522926618841203</v>
      </c>
      <c r="G9" s="1">
        <v>0.270993644252016</v>
      </c>
      <c r="H9" s="1">
        <f t="shared" si="1"/>
        <v>2.1271266636214061E-2</v>
      </c>
    </row>
    <row r="10" spans="1:9" ht="14.25" customHeight="1">
      <c r="A10">
        <v>10.199999999999999</v>
      </c>
      <c r="B10" s="1">
        <v>1.2733532870000001E-7</v>
      </c>
      <c r="C10" s="1">
        <v>8.3747339350000001E-13</v>
      </c>
      <c r="D10" s="1">
        <f t="shared" si="0"/>
        <v>152046.01389716449</v>
      </c>
      <c r="E10" s="1"/>
      <c r="F10">
        <v>0.26509316309584702</v>
      </c>
      <c r="G10" s="1">
        <v>0.270993644252016</v>
      </c>
      <c r="H10" s="1">
        <f t="shared" si="1"/>
        <v>2.1773503848974807E-2</v>
      </c>
    </row>
    <row r="11" spans="1:9" ht="14.25" customHeight="1">
      <c r="A11">
        <v>10.1</v>
      </c>
      <c r="B11" s="1">
        <v>1.410706539E-7</v>
      </c>
      <c r="C11" s="1">
        <v>8.3747339350000001E-13</v>
      </c>
      <c r="D11" s="1">
        <f t="shared" si="0"/>
        <v>168446.92323542634</v>
      </c>
      <c r="E11" s="1"/>
      <c r="F11">
        <v>0.26503005256055201</v>
      </c>
      <c r="G11" s="1">
        <v>0.270993644252016</v>
      </c>
      <c r="H11" s="1">
        <f t="shared" si="1"/>
        <v>2.2006389514870044E-2</v>
      </c>
    </row>
    <row r="12" spans="1:9" ht="14.25" customHeight="1">
      <c r="A12">
        <v>10</v>
      </c>
      <c r="B12" s="1">
        <v>1.5644598050000001E-7</v>
      </c>
      <c r="C12" s="1">
        <v>8.3747339350000001E-13</v>
      </c>
      <c r="D12" s="1">
        <f t="shared" si="0"/>
        <v>186806.10541283601</v>
      </c>
      <c r="E12" s="1"/>
      <c r="F12">
        <v>0.26494495473694801</v>
      </c>
      <c r="G12" s="1">
        <v>0.270993644252016</v>
      </c>
      <c r="H12" s="1">
        <f t="shared" si="1"/>
        <v>2.2320410988838114E-2</v>
      </c>
    </row>
    <row r="13" spans="1:9" ht="14.25" customHeight="1">
      <c r="A13">
        <v>9.9</v>
      </c>
      <c r="B13" s="1">
        <v>1.7343609069999999E-7</v>
      </c>
      <c r="C13" s="1">
        <v>8.3747339350000001E-13</v>
      </c>
      <c r="D13" s="1">
        <f t="shared" si="0"/>
        <v>207093.44866680412</v>
      </c>
      <c r="E13" s="1"/>
      <c r="F13">
        <v>0.26479751877723501</v>
      </c>
      <c r="G13" s="1">
        <v>0.270993644252016</v>
      </c>
      <c r="H13" s="1">
        <f t="shared" si="1"/>
        <v>2.2864467880356551E-2</v>
      </c>
    </row>
    <row r="14" spans="1:9" ht="14.25" customHeight="1">
      <c r="A14">
        <v>9.8000000000000007</v>
      </c>
      <c r="B14" s="1">
        <v>1.9008761159999999E-7</v>
      </c>
      <c r="C14" s="1">
        <v>8.3747339350000001E-13</v>
      </c>
      <c r="D14" s="1">
        <f t="shared" si="0"/>
        <v>226976.49334528559</v>
      </c>
      <c r="E14" s="1"/>
      <c r="F14">
        <v>0.26469876476159299</v>
      </c>
      <c r="G14" s="1">
        <v>0.270993644252016</v>
      </c>
      <c r="H14" s="1">
        <f t="shared" si="1"/>
        <v>2.32288823887285E-2</v>
      </c>
    </row>
    <row r="15" spans="1:9" ht="14.25" customHeight="1">
      <c r="A15">
        <v>9.6999999999999993</v>
      </c>
      <c r="B15" s="1">
        <v>2.131748476E-7</v>
      </c>
      <c r="C15" s="1">
        <v>8.3747339350000001E-13</v>
      </c>
      <c r="D15" s="1">
        <f t="shared" si="0"/>
        <v>254544.21809832277</v>
      </c>
      <c r="E15" s="1"/>
      <c r="F15">
        <v>0.26459649450422201</v>
      </c>
      <c r="G15" s="1">
        <v>0.270993644252016</v>
      </c>
      <c r="H15" s="1">
        <f t="shared" si="1"/>
        <v>2.360627226314144E-2</v>
      </c>
    </row>
    <row r="16" spans="1:9" ht="14.25" customHeight="1">
      <c r="A16">
        <v>9.6</v>
      </c>
      <c r="B16" s="1">
        <v>2.3626208360000001E-7</v>
      </c>
      <c r="C16" s="1">
        <v>8.3747339350000001E-13</v>
      </c>
      <c r="D16" s="1">
        <f t="shared" si="0"/>
        <v>282111.94285135996</v>
      </c>
      <c r="E16" s="1"/>
      <c r="F16">
        <v>0.26449207586741103</v>
      </c>
      <c r="G16" s="1">
        <v>0.270993644252016</v>
      </c>
      <c r="H16" s="1">
        <f t="shared" si="1"/>
        <v>2.3991589922893939E-2</v>
      </c>
    </row>
    <row r="17" spans="1:8" ht="14.25" customHeight="1">
      <c r="A17">
        <v>9.5000000000000107</v>
      </c>
      <c r="B17" s="1">
        <v>2.6251310990000002E-7</v>
      </c>
      <c r="C17" s="1">
        <v>8.3747339350000001E-13</v>
      </c>
      <c r="D17" s="1">
        <f t="shared" si="0"/>
        <v>313457.44768022472</v>
      </c>
      <c r="E17" s="1"/>
      <c r="F17">
        <v>0.26431391446333802</v>
      </c>
      <c r="G17" s="1">
        <v>0.270993644252016</v>
      </c>
      <c r="H17" s="1">
        <f t="shared" si="1"/>
        <v>2.4649027496991886E-2</v>
      </c>
    </row>
    <row r="18" spans="1:8" ht="14.25" customHeight="1">
      <c r="A18">
        <v>9.4000000000000092</v>
      </c>
      <c r="B18" s="1">
        <v>2.8805554939999998E-7</v>
      </c>
      <c r="C18" s="1">
        <v>8.3747339350000001E-13</v>
      </c>
      <c r="D18" s="1">
        <f t="shared" si="0"/>
        <v>343956.85183831037</v>
      </c>
      <c r="E18" s="1"/>
      <c r="F18">
        <v>0.26422925018361698</v>
      </c>
      <c r="G18" s="1">
        <v>0.270993644252016</v>
      </c>
      <c r="H18" s="1">
        <f t="shared" si="1"/>
        <v>2.4961449140513167E-2</v>
      </c>
    </row>
    <row r="19" spans="1:8" ht="14.25" customHeight="1">
      <c r="A19">
        <v>9.3000000000000096</v>
      </c>
      <c r="B19" s="1">
        <v>3.2345170780000001E-7</v>
      </c>
      <c r="C19" s="1">
        <v>8.3747339350000001E-13</v>
      </c>
      <c r="D19" s="1">
        <f t="shared" si="0"/>
        <v>386222.26429764961</v>
      </c>
      <c r="E19" s="1"/>
      <c r="F19">
        <v>0.26410185433581002</v>
      </c>
      <c r="G19" s="1">
        <v>0.270993644252016</v>
      </c>
      <c r="H19" s="1">
        <f t="shared" si="1"/>
        <v>2.5431555545254128E-2</v>
      </c>
    </row>
    <row r="20" spans="1:8" ht="14.25" customHeight="1">
      <c r="A20">
        <v>9.2000000000000099</v>
      </c>
      <c r="B20" s="1">
        <v>3.553416239E-7</v>
      </c>
      <c r="C20" s="1">
        <v>8.3747339350000001E-13</v>
      </c>
      <c r="D20" s="1">
        <f t="shared" si="0"/>
        <v>424300.98578004137</v>
      </c>
      <c r="E20" s="1"/>
      <c r="F20">
        <v>0.26396505851471103</v>
      </c>
      <c r="G20" s="1">
        <v>0.270993644252016</v>
      </c>
      <c r="H20" s="1">
        <f t="shared" si="1"/>
        <v>2.5936349011818877E-2</v>
      </c>
    </row>
    <row r="21" spans="1:8" ht="14.25" customHeight="1">
      <c r="A21">
        <v>9.1000000000000103</v>
      </c>
      <c r="B21" s="1">
        <v>3.9443779720000002E-7</v>
      </c>
      <c r="C21" s="1">
        <v>8.3747339350000001E-13</v>
      </c>
      <c r="D21" s="1">
        <f t="shared" si="0"/>
        <v>470984.46683560999</v>
      </c>
      <c r="E21" s="1"/>
      <c r="F21">
        <v>0.26381887829290401</v>
      </c>
      <c r="G21" s="1">
        <v>0.270993644252016</v>
      </c>
      <c r="H21" s="1">
        <f t="shared" si="1"/>
        <v>2.6475772075450103E-2</v>
      </c>
    </row>
    <row r="22" spans="1:8" ht="14.25" customHeight="1">
      <c r="A22">
        <v>9.0000000000000107</v>
      </c>
      <c r="B22" s="1">
        <v>4.382632837E-7</v>
      </c>
      <c r="C22" s="1">
        <v>8.3747339350000001E-13</v>
      </c>
      <c r="D22" s="1">
        <f t="shared" si="0"/>
        <v>523315.06842862646</v>
      </c>
      <c r="E22" s="1"/>
      <c r="F22">
        <v>0.26371653962881397</v>
      </c>
      <c r="G22" s="1">
        <v>0.270993644252016</v>
      </c>
      <c r="H22" s="1">
        <f t="shared" si="1"/>
        <v>2.685341437910084E-2</v>
      </c>
    </row>
    <row r="23" spans="1:8" ht="14.25" customHeight="1"/>
    <row r="24" spans="1:8" ht="14.25" customHeight="1"/>
    <row r="25" spans="1:8" ht="14.25" customHeight="1"/>
    <row r="26" spans="1:8" ht="14.25" customHeight="1"/>
    <row r="27" spans="1:8" ht="14.25" customHeight="1"/>
    <row r="28" spans="1:8" ht="14.25" customHeight="1"/>
    <row r="29" spans="1:8" ht="14.25" customHeight="1"/>
    <row r="30" spans="1:8" ht="14.25" customHeight="1"/>
    <row r="31" spans="1:8" ht="14.25" customHeight="1"/>
    <row r="32" spans="1:8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Joydeep De</dc:creator>
  <cp:lastModifiedBy>Jash Saha</cp:lastModifiedBy>
  <dcterms:created xsi:type="dcterms:W3CDTF">2025-03-14T17:38:26Z</dcterms:created>
  <dcterms:modified xsi:type="dcterms:W3CDTF">2026-04-19T16:49:18Z</dcterms:modified>
</cp:coreProperties>
</file>